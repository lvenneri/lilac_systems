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nitwit/Downloads/"/>
    </mc:Choice>
  </mc:AlternateContent>
  <xr:revisionPtr revIDLastSave="0" documentId="13_ncr:20001_{951E66CC-1890-2743-82FF-6717AED0667F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Instruments" sheetId="1" r:id="rId1"/>
    <sheet name="Channels" sheetId="2" r:id="rId2"/>
    <sheet name="Control Loops" sheetId="3" r:id="rId3"/>
    <sheet name="Interlocks" sheetId="4" r:id="rId4"/>
    <sheet name="Logging" sheetId="5" r:id="rId5"/>
    <sheet name="Test Series" sheetId="6" r:id="rId6"/>
    <sheet name="Settings" sheetId="7" r:id="rId7"/>
    <sheet name="Validation" sheetId="8" r:id="rId8"/>
  </sheets>
  <definedNames>
    <definedName name="ChannelNames">Channels!$C$3:$C$60</definedName>
    <definedName name="InstrumentNames">Instruments!$A$3:$A$30</definedName>
    <definedName name="LoopNames">'Control Loops'!$A$3:$A$22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8" l="1"/>
  <c r="B16" i="8"/>
  <c r="B15" i="8"/>
  <c r="B14" i="8"/>
  <c r="B13" i="8"/>
  <c r="B12" i="8"/>
  <c r="B11" i="8"/>
  <c r="B10" i="8"/>
  <c r="B9" i="8"/>
  <c r="B8" i="8"/>
  <c r="B7" i="8"/>
  <c r="B6" i="8"/>
  <c r="B5" i="8"/>
  <c r="C16" i="8" a="1"/>
  <c r="C16" i="8" s="1"/>
  <c r="C15" i="8" a="1"/>
  <c r="C15" i="8" s="1"/>
  <c r="C14" i="8" a="1"/>
  <c r="C14" i="8" s="1"/>
  <c r="C13" i="8" a="1"/>
  <c r="C13" i="8" s="1"/>
  <c r="C12" i="8" a="1"/>
  <c r="C12" i="8" s="1"/>
  <c r="C11" i="8" a="1"/>
  <c r="C11" i="8" s="1"/>
  <c r="C10" i="8" a="1"/>
  <c r="C10" i="8" s="1"/>
  <c r="C9" i="8" a="1"/>
  <c r="C9" i="8" s="1"/>
  <c r="C8" i="8" a="1"/>
  <c r="C8" i="8" s="1"/>
  <c r="C7" i="8" a="1"/>
  <c r="C7" i="8" s="1"/>
  <c r="C6" i="8" a="1"/>
  <c r="C6" i="8" s="1"/>
  <c r="C5" i="8" a="1"/>
  <c r="C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<sst xmlns="http://schemas.openxmlformats.org/spreadsheetml/2006/main" count="280" uniqueCount="192">
  <si>
    <t>Define each instrument. Instrument Name must be unique — it is referenced by other sheets.</t>
  </si>
  <si>
    <t>Instrument Name</t>
  </si>
  <si>
    <t>Type</t>
  </si>
  <si>
    <t>Address / Device</t>
  </si>
  <si>
    <t>Query Command</t>
  </si>
  <si>
    <t>Poll Rate (s)</t>
  </si>
  <si>
    <t>Timeout (s)</t>
  </si>
  <si>
    <t>Enabled</t>
  </si>
  <si>
    <t>Notes</t>
  </si>
  <si>
    <t>tc_array</t>
  </si>
  <si>
    <t>daqmx</t>
  </si>
  <si>
    <t>Dev1</t>
  </si>
  <si>
    <t>Yes</t>
  </si>
  <si>
    <t>Main thermocouple rack</t>
  </si>
  <si>
    <t>pressure_gauge</t>
  </si>
  <si>
    <t>gpib</t>
  </si>
  <si>
    <t>GPIB0::5::INSTR</t>
  </si>
  <si>
    <t>MEAS:PRES?</t>
  </si>
  <si>
    <t>Chamber pressure</t>
  </si>
  <si>
    <t>flow_controller</t>
  </si>
  <si>
    <t>GPIB0::7::INSTR</t>
  </si>
  <si>
    <t>MEAS:FLOW?</t>
  </si>
  <si>
    <t>MFC bank</t>
  </si>
  <si>
    <t>power_supply</t>
  </si>
  <si>
    <t>serial</t>
  </si>
  <si>
    <t>COM3</t>
  </si>
  <si>
    <t>MEAS:VOLT?</t>
  </si>
  <si>
    <t>Heater PSU</t>
  </si>
  <si>
    <t>Define channels. Select Instrument from dropdown. Channel Name must be unique — it is referenced by Control Loops, Logging, Interlocks, and Test Series.</t>
  </si>
  <si>
    <t>Instrument</t>
  </si>
  <si>
    <t>Channel ID</t>
  </si>
  <si>
    <t>Channel Name</t>
  </si>
  <si>
    <t>Direction</t>
  </si>
  <si>
    <t>Signal Type</t>
  </si>
  <si>
    <t>Units</t>
  </si>
  <si>
    <t>Slope</t>
  </si>
  <si>
    <t>Offset</t>
  </si>
  <si>
    <t>Min Value</t>
  </si>
  <si>
    <t>Max Value</t>
  </si>
  <si>
    <t>ai0</t>
  </si>
  <si>
    <t>reactor_temp</t>
  </si>
  <si>
    <t>input</t>
  </si>
  <si>
    <t>voltage</t>
  </si>
  <si>
    <t>degC</t>
  </si>
  <si>
    <t>K-type TC</t>
  </si>
  <si>
    <t>ai1</t>
  </si>
  <si>
    <t>coolant_temp</t>
  </si>
  <si>
    <t>ao0</t>
  </si>
  <si>
    <t>heater_output</t>
  </si>
  <si>
    <t>output</t>
  </si>
  <si>
    <t>%</t>
  </si>
  <si>
    <t>Heater control signal</t>
  </si>
  <si>
    <t>ch1</t>
  </si>
  <si>
    <t>chamber_pressure</t>
  </si>
  <si>
    <t>string</t>
  </si>
  <si>
    <t>torr</t>
  </si>
  <si>
    <t>gas_flow</t>
  </si>
  <si>
    <t>sccm</t>
  </si>
  <si>
    <t>ch2</t>
  </si>
  <si>
    <t>flow_setpoint</t>
  </si>
  <si>
    <t>Flow command</t>
  </si>
  <si>
    <t>Define PID loops. Select Process Variable and Output Channel from Channels sheet dropdowns. Loop Name must be unique.</t>
  </si>
  <si>
    <t>Loop Name</t>
  </si>
  <si>
    <t>Process Variable</t>
  </si>
  <si>
    <t>Setpoint</t>
  </si>
  <si>
    <t>SP Units</t>
  </si>
  <si>
    <t>Output Channel</t>
  </si>
  <si>
    <t>Out Min</t>
  </si>
  <si>
    <t>Out Max</t>
  </si>
  <si>
    <t>Kp</t>
  </si>
  <si>
    <t>Ki</t>
  </si>
  <si>
    <t>Kd</t>
  </si>
  <si>
    <t>Sample Time (s)</t>
  </si>
  <si>
    <t>Mode</t>
  </si>
  <si>
    <t>temp_control</t>
  </si>
  <si>
    <t>auto</t>
  </si>
  <si>
    <t>Reactor heater PID</t>
  </si>
  <si>
    <t>pressure_control</t>
  </si>
  <si>
    <t>manual</t>
  </si>
  <si>
    <t>Throttle valve control</t>
  </si>
  <si>
    <t>Interlock Name</t>
  </si>
  <si>
    <t>Channel</t>
  </si>
  <si>
    <t>Condition</t>
  </si>
  <si>
    <t>Threshold</t>
  </si>
  <si>
    <t>Action</t>
  </si>
  <si>
    <t>Target</t>
  </si>
  <si>
    <t>over_temp</t>
  </si>
  <si>
    <t>&gt;</t>
  </si>
  <si>
    <t>set_output</t>
  </si>
  <si>
    <t>Emergency shutoff if temp &gt; 250C</t>
  </si>
  <si>
    <t>low_pressure</t>
  </si>
  <si>
    <t>&lt;</t>
  </si>
  <si>
    <t>disable_loop</t>
  </si>
  <si>
    <t>Disable control if vacuum lost</t>
  </si>
  <si>
    <t>coolant_high</t>
  </si>
  <si>
    <t>Stop heater if coolant overheats</t>
  </si>
  <si>
    <t>flow_fault</t>
  </si>
  <si>
    <t>alarm</t>
  </si>
  <si>
    <t>Alarm if flow drops below 10 sccm</t>
  </si>
  <si>
    <t>Select channels to log and display. Use Channel dropdown. Alarms trigger UI warnings (separate from safety interlocks).</t>
  </si>
  <si>
    <t>Log to CSV</t>
  </si>
  <si>
    <t>Display on UI</t>
  </si>
  <si>
    <t>Display Format</t>
  </si>
  <si>
    <t>Decimal Places</t>
  </si>
  <si>
    <t>Alarm Low</t>
  </si>
  <si>
    <t>Alarm High</t>
  </si>
  <si>
    <t>0.0</t>
  </si>
  <si>
    <t>Main display</t>
  </si>
  <si>
    <t>Warn if &gt; 80C</t>
  </si>
  <si>
    <t>0.00e+0</t>
  </si>
  <si>
    <t>Control output</t>
  </si>
  <si>
    <t>Step #</t>
  </si>
  <si>
    <t>SP: reactor_temp (degC)</t>
  </si>
  <si>
    <t>SP: chamber_pressure (torr)</t>
  </si>
  <si>
    <t>Hold Time (s)</t>
  </si>
  <si>
    <t>Initial ramp</t>
  </si>
  <si>
    <t>Operating condition A</t>
  </si>
  <si>
    <t>Operating condition B</t>
  </si>
  <si>
    <t>Cool-down step</t>
  </si>
  <si>
    <t>Return to ambient</t>
  </si>
  <si>
    <t>Setting</t>
  </si>
  <si>
    <t>Value</t>
  </si>
  <si>
    <t>Description</t>
  </si>
  <si>
    <t>CSV Log File</t>
  </si>
  <si>
    <t>data_{timestamp}.csv</t>
  </si>
  <si>
    <t>Output file path. {timestamp} is auto-replaced with start time.</t>
  </si>
  <si>
    <t>Log Interval (s)</t>
  </si>
  <si>
    <t>How often to write a row to the CSV file</t>
  </si>
  <si>
    <t>Web UI Port</t>
  </si>
  <si>
    <t>Port for the web dashboard</t>
  </si>
  <si>
    <t>Web UI Refresh Rate (ms)</t>
  </si>
  <si>
    <t>How often the UI polls for new data</t>
  </si>
  <si>
    <t>Emergency Stop Enabled</t>
  </si>
  <si>
    <t>Enable E-stop button on UI</t>
  </si>
  <si>
    <t>Auto-start Logging</t>
  </si>
  <si>
    <t>No</t>
  </si>
  <si>
    <t>Start logging immediately on launch</t>
  </si>
  <si>
    <t>Max Log File Size (MB)</t>
  </si>
  <si>
    <t>Rotate log file when this size is reached</t>
  </si>
  <si>
    <t>Data Buffer Size</t>
  </si>
  <si>
    <t>Number of points to keep in memory for plotting</t>
  </si>
  <si>
    <t>PID Update Priority</t>
  </si>
  <si>
    <t>high</t>
  </si>
  <si>
    <t>Thread priority for control loops (high/normal/low)</t>
  </si>
  <si>
    <t>SP Stability Time (s)</t>
  </si>
  <si>
    <t>Time PV must remain within tolerance before considered stable</t>
  </si>
  <si>
    <t>SP Stability Tolerance (%)</t>
  </si>
  <si>
    <t>PV must be within this % of SP to count as stable</t>
  </si>
  <si>
    <t>Interlock Check Interval (s)</t>
  </si>
  <si>
    <t>How often to evaluate interlock conditions</t>
  </si>
  <si>
    <t>Define safety interlocks. Select Channel from dropdown. When condition is met, the Action is applied to the Target (a channel or loop) with the specified Action Value.</t>
  </si>
  <si>
    <t>Action Value</t>
  </si>
  <si>
    <t>N/A</t>
  </si>
  <si>
    <t>Each row is a test step. Add SP columns matching your Control Loop names. System applies setpoints at the given Ramp Rate, waits for stability (if required), holds, then advances.</t>
  </si>
  <si>
    <t>Ramp Rate (/min)</t>
  </si>
  <si>
    <t>Stability Required?</t>
  </si>
  <si>
    <t>Tolerance Override (%)</t>
  </si>
  <si>
    <t>📁 Logging</t>
  </si>
  <si>
    <t>🖥️ UI</t>
  </si>
  <si>
    <t>⚠️ Safety</t>
  </si>
  <si>
    <t>🎛️ Control</t>
  </si>
  <si>
    <t>Configuration Validation Dashboard</t>
  </si>
  <si>
    <t>This sheet automatically checks your configuration for common errors. Green = pass, Red = issues found.</t>
  </si>
  <si>
    <t>Check</t>
  </si>
  <si>
    <t>Status</t>
  </si>
  <si>
    <t>Count</t>
  </si>
  <si>
    <t>Details</t>
  </si>
  <si>
    <t>Duplicate Instrument Names</t>
  </si>
  <si>
    <t>Duplicate Channel Names</t>
  </si>
  <si>
    <t>Duplicate Control Loop Names</t>
  </si>
  <si>
    <t>Duplicate Interlock Names</t>
  </si>
  <si>
    <t>Channels → Invalid Instrument Refs</t>
  </si>
  <si>
    <t>Control Loops → Invalid PV Channel Refs</t>
  </si>
  <si>
    <t>Control Loops → Invalid Output Channel Refs</t>
  </si>
  <si>
    <t>Interlocks → Invalid Channel Refs</t>
  </si>
  <si>
    <t>Logging → Invalid Channel Refs</t>
  </si>
  <si>
    <t>Logging → Alarm Low &gt; Alarm High</t>
  </si>
  <si>
    <t>Orphaned Channels (unused)</t>
  </si>
  <si>
    <t>Disabled Instruments with Active Channels</t>
  </si>
  <si>
    <t>Each Instrument Name in column A must be unique</t>
  </si>
  <si>
    <t>Each Channel Name in column C must be unique</t>
  </si>
  <si>
    <t>Each Loop Name in column A must be unique</t>
  </si>
  <si>
    <t>Each Interlock Name in column A must be unique</t>
  </si>
  <si>
    <t>Every Channels → Instrument must exist on Instruments sheet</t>
  </si>
  <si>
    <t>Every Control Loop PV must reference a valid Channel Name</t>
  </si>
  <si>
    <t>Every Control Loop Output must reference a valid Channel Name</t>
  </si>
  <si>
    <t>Every Interlock Channel must reference a valid Channel Name</t>
  </si>
  <si>
    <t>Every Logging Channel must reference a valid Channel Name</t>
  </si>
  <si>
    <t>Alarm Low should not exceed Alarm High for any channel</t>
  </si>
  <si>
    <t>Channels defined but not used in any Loop, Interlock, or Logging</t>
  </si>
  <si>
    <t>Disabled instruments that still have channels referencing them</t>
  </si>
  <si>
    <t>Overall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</si>
</sst>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i/>
      <sz val="10"/>
      <color rgb="FF808080"/>
      <name val="Arial"/>
      <family val="2"/>
    </font>
    <font>
      <b/>
      <sz val="10"/>
      <color rgb="FF2F5496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2F5496"/>
      <name val="Arial"/>
      <family val="2"/>
    </font>
    <font>
      <b/>
      <sz val="10"/>
      <color theme="1"/>
      <name val="Arial"/>
      <family val="2"/>
    </font>
    <font>
      <sz val="10"/>
      <color rgb="FF666666"/>
      <name val="Arial"/>
      <family val="2"/>
    </font>
    <font>
      <b/>
      <sz val="12"/>
      <color rgb="FF2F5496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0" fontId="1" fillId="0" borderId="0" xfId="0" applyFont="1" applyAlignment="1">
      <alignment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11" fontId="3" fillId="0" borderId="1" xfId="0" applyNumberFormat="1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0" fillId="0" borderId="4" xfId="0" applyBorder="1"/>
    <xf numFmtId="0" fontId="0" fillId="4" borderId="1" xfId="0" applyFill="1" applyBorder="1"/>
    <xf numFmtId="0" fontId="5" fillId="0" borderId="1" xfId="0" applyFont="1" applyBorder="1"/>
    <xf numFmtId="0" fontId="4" fillId="4" borderId="1" xfId="0" applyFont="1" applyFill="1" applyBorder="1"/>
    <xf numFmtId="0" fontId="6" fillId="0" borderId="1" xfId="0" applyFont="1" applyBorder="1"/>
    <xf numFmtId="0" fontId="6" fillId="0" borderId="1" xfId="0" applyFont="1" applyFill="1" applyBorder="1"/>
    <xf numFmtId="0" fontId="5" fillId="0" borderId="1" xfId="0" applyFont="1" applyFill="1" applyBorder="1"/>
    <xf numFmtId="0" fontId="7" fillId="0" borderId="0" xfId="0" applyFont="1"/>
    <xf numFmtId="0" fontId="1" fillId="0" borderId="0" xfId="0" applyFont="1"/>
    <xf numFmtId="0" fontId="10" fillId="0" borderId="0" xfId="0" applyFont="1"/>
    <xf numFmtId="0" fontId="11" fillId="0" borderId="0" xfId="0" applyFont="1"/>
    <xf numFmtId="0" fontId="2" fillId="3" borderId="1" xfId="0" applyFont="1" applyFill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12">
    <dxf>
      <font>
        <b/>
        <i val="0"/>
        <color rgb="FFCC0000"/>
      </font>
    </dxf>
    <dxf>
      <font>
        <color rgb="FF996600"/>
      </font>
      <fill>
        <patternFill patternType="solid">
          <fgColor indexed="64"/>
          <bgColor rgb="FFFFF8E0"/>
        </patternFill>
      </fill>
    </dxf>
    <dxf>
      <font>
        <color rgb="FF006600"/>
      </font>
      <fill>
        <patternFill patternType="solid">
          <fgColor indexed="64"/>
          <bgColor rgb="FFE0FFE0"/>
        </patternFill>
      </fill>
    </dxf>
    <dxf>
      <font>
        <b/>
        <i val="0"/>
        <color rgb="FFCC0000"/>
      </font>
      <fill>
        <patternFill patternType="solid">
          <fgColor indexed="64"/>
          <bgColor rgb="FFFFE0E0"/>
        </patternFill>
      </fill>
    </dxf>
    <dxf>
      <font>
        <b/>
        <i val="0"/>
        <color rgb="FFFF0000"/>
      </font>
      <fill>
        <patternFill patternType="solid">
          <fgColor indexed="64"/>
          <bgColor rgb="FFFFE0E0"/>
        </patternFill>
      </fill>
    </dxf>
    <dxf>
      <font>
        <b/>
        <i val="0"/>
        <color rgb="FFFF0000"/>
      </font>
      <fill>
        <patternFill patternType="solid">
          <fgColor indexed="64"/>
          <bgColor rgb="FFFFE0E0"/>
        </patternFill>
      </fill>
    </dxf>
    <dxf>
      <font>
        <strike/>
        <color rgb="FFC0C0C0"/>
      </font>
      <fill>
        <patternFill patternType="solid">
          <fgColor indexed="64"/>
          <bgColor rgb="FFF2F2F2"/>
        </patternFill>
      </fill>
    </dxf>
    <dxf>
      <font>
        <strike/>
        <color rgb="FFC0C0C0"/>
      </font>
      <fill>
        <patternFill patternType="solid">
          <fgColor indexed="64"/>
          <bgColor rgb="FFF2F2F2"/>
        </patternFill>
      </fill>
    </dxf>
    <dxf>
      <font>
        <color rgb="FF0000FF"/>
      </font>
    </dxf>
    <dxf>
      <font>
        <color rgb="FF008000"/>
      </font>
    </dxf>
    <dxf>
      <font>
        <strike/>
        <color rgb="FFC0C0C0"/>
      </font>
      <fill>
        <patternFill patternType="solid">
          <fgColor indexed="64"/>
          <bgColor rgb="FFF2F2F2"/>
        </patternFill>
      </fill>
    </dxf>
    <dxf>
      <font>
        <strike/>
        <color rgb="FFC0C0C0"/>
      </font>
      <fill>
        <patternFill patternType="solid">
          <fgColor indexed="64"/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232AB7-BB09-EE4E-81BE-D3D59F51FA58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H30"/>
  <sheetViews>
    <sheetView tabSelected="1" workbookViewId="0">
      <pane ySplit="2" topLeftCell="A3" activePane="bottomLeft" state="frozen"/>
      <selection pane="bottomLeft" activeCell="C11" sqref="C11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24" customWidth="1"/>
    <col min="4" max="4" width="22" customWidth="1"/>
    <col min="5" max="5" width="16" customWidth="1"/>
    <col min="6" max="6" width="14" customWidth="1"/>
    <col min="7" max="7" width="12" customWidth="1"/>
    <col min="8" max="8" width="30" customWidth="1"/>
  </cols>
  <sheetData>
    <row r="1" spans="1:8" x14ac:dyDescent="0.2">
      <c r="A1" s="4" t="s">
        <v>0</v>
      </c>
      <c r="B1" s="5"/>
      <c r="C1" s="5"/>
      <c r="D1" s="5"/>
      <c r="E1" s="5"/>
      <c r="F1" s="5"/>
      <c r="G1" s="5"/>
      <c r="H1" s="5"/>
    </row>
    <row r="2" spans="1: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">
      <c r="A3" s="2" t="s">
        <v>9</v>
      </c>
      <c r="B3" s="2" t="s">
        <v>10</v>
      </c>
      <c r="C3" s="2" t="s">
        <v>11</v>
      </c>
      <c r="D3" s="2"/>
      <c r="E3" s="2">
        <v>0.1</v>
      </c>
      <c r="F3" s="2">
        <v>5</v>
      </c>
      <c r="G3" s="2" t="s">
        <v>12</v>
      </c>
      <c r="H3" s="2" t="s">
        <v>13</v>
      </c>
    </row>
    <row r="4" spans="1:8" x14ac:dyDescent="0.2">
      <c r="A4" s="2" t="s">
        <v>14</v>
      </c>
      <c r="B4" s="2" t="s">
        <v>15</v>
      </c>
      <c r="C4" s="2" t="s">
        <v>16</v>
      </c>
      <c r="D4" s="2" t="s">
        <v>17</v>
      </c>
      <c r="E4" s="2">
        <v>0.5</v>
      </c>
      <c r="F4" s="2">
        <v>10</v>
      </c>
      <c r="G4" s="2" t="s">
        <v>12</v>
      </c>
      <c r="H4" s="2" t="s">
        <v>18</v>
      </c>
    </row>
    <row r="5" spans="1:8" x14ac:dyDescent="0.2">
      <c r="A5" s="2" t="s">
        <v>19</v>
      </c>
      <c r="B5" s="2" t="s">
        <v>15</v>
      </c>
      <c r="C5" s="2" t="s">
        <v>20</v>
      </c>
      <c r="D5" s="2" t="s">
        <v>21</v>
      </c>
      <c r="E5" s="2">
        <v>1</v>
      </c>
      <c r="F5" s="2">
        <v>10</v>
      </c>
      <c r="G5" s="2" t="s">
        <v>12</v>
      </c>
      <c r="H5" s="2" t="s">
        <v>22</v>
      </c>
    </row>
    <row r="6" spans="1:8" x14ac:dyDescent="0.2">
      <c r="A6" s="2" t="s">
        <v>23</v>
      </c>
      <c r="B6" s="2" t="s">
        <v>24</v>
      </c>
      <c r="C6" s="2" t="s">
        <v>25</v>
      </c>
      <c r="D6" s="2" t="s">
        <v>26</v>
      </c>
      <c r="E6" s="2">
        <v>1</v>
      </c>
      <c r="F6" s="2">
        <v>5</v>
      </c>
      <c r="G6" s="2" t="s">
        <v>12</v>
      </c>
      <c r="H6" s="2" t="s">
        <v>27</v>
      </c>
    </row>
    <row r="7" spans="1:8" x14ac:dyDescent="0.2">
      <c r="A7" s="3"/>
      <c r="B7" s="3"/>
      <c r="C7" s="3"/>
      <c r="D7" s="3"/>
      <c r="E7" s="3"/>
      <c r="F7" s="3"/>
      <c r="G7" s="3"/>
      <c r="H7" s="3"/>
    </row>
    <row r="8" spans="1:8" x14ac:dyDescent="0.2">
      <c r="A8" s="3"/>
      <c r="B8" s="3"/>
      <c r="C8" s="3"/>
      <c r="D8" s="3"/>
      <c r="E8" s="3"/>
      <c r="F8" s="3"/>
      <c r="G8" s="3"/>
      <c r="H8" s="3"/>
    </row>
    <row r="9" spans="1:8" x14ac:dyDescent="0.2">
      <c r="A9" s="3"/>
      <c r="B9" s="3"/>
      <c r="C9" s="3"/>
      <c r="D9" s="3"/>
      <c r="E9" s="3"/>
      <c r="F9" s="3"/>
      <c r="G9" s="3"/>
      <c r="H9" s="3"/>
    </row>
    <row r="10" spans="1:8" x14ac:dyDescent="0.2">
      <c r="A10" s="3"/>
      <c r="B10" s="3"/>
      <c r="C10" s="3"/>
      <c r="D10" s="3"/>
      <c r="E10" s="3"/>
      <c r="F10" s="3"/>
      <c r="G10" s="3"/>
      <c r="H10" s="3"/>
    </row>
    <row r="11" spans="1:8" x14ac:dyDescent="0.2">
      <c r="A11" s="3"/>
      <c r="B11" s="3"/>
      <c r="C11" s="3"/>
      <c r="D11" s="3"/>
      <c r="E11" s="3"/>
      <c r="F11" s="3"/>
      <c r="G11" s="3"/>
      <c r="H11" s="3"/>
    </row>
    <row r="12" spans="1:8" x14ac:dyDescent="0.2">
      <c r="A12" s="3"/>
      <c r="B12" s="3"/>
      <c r="C12" s="3"/>
      <c r="D12" s="3"/>
      <c r="E12" s="3"/>
      <c r="F12" s="3"/>
      <c r="G12" s="3"/>
      <c r="H12" s="3"/>
    </row>
    <row r="13" spans="1:8" x14ac:dyDescent="0.2">
      <c r="A13" s="3"/>
      <c r="B13" s="3"/>
      <c r="C13" s="3"/>
      <c r="D13" s="3"/>
      <c r="E13" s="3"/>
      <c r="F13" s="3"/>
      <c r="G13" s="3"/>
      <c r="H13" s="3"/>
    </row>
    <row r="14" spans="1:8" x14ac:dyDescent="0.2">
      <c r="A14" s="3"/>
      <c r="B14" s="3"/>
      <c r="C14" s="3"/>
      <c r="D14" s="3"/>
      <c r="E14" s="3"/>
      <c r="F14" s="3"/>
      <c r="G14" s="3"/>
      <c r="H14" s="3"/>
    </row>
    <row r="15" spans="1:8" x14ac:dyDescent="0.2">
      <c r="A15" s="3"/>
      <c r="B15" s="3"/>
      <c r="C15" s="3"/>
      <c r="D15" s="3"/>
      <c r="E15" s="3"/>
      <c r="F15" s="3"/>
      <c r="G15" s="3"/>
      <c r="H15" s="3"/>
    </row>
    <row r="16" spans="1:8" x14ac:dyDescent="0.2">
      <c r="A16" s="3"/>
      <c r="B16" s="3"/>
      <c r="C16" s="3"/>
      <c r="D16" s="3"/>
      <c r="E16" s="3"/>
      <c r="F16" s="3"/>
      <c r="G16" s="3"/>
      <c r="H16" s="3"/>
    </row>
    <row r="17" spans="1:8" x14ac:dyDescent="0.2">
      <c r="A17" s="3"/>
      <c r="B17" s="3"/>
      <c r="C17" s="3"/>
      <c r="D17" s="3"/>
      <c r="E17" s="3"/>
      <c r="F17" s="3"/>
      <c r="G17" s="3"/>
      <c r="H17" s="3"/>
    </row>
    <row r="18" spans="1:8" x14ac:dyDescent="0.2">
      <c r="A18" s="3"/>
      <c r="B18" s="3"/>
      <c r="C18" s="3"/>
      <c r="D18" s="3"/>
      <c r="E18" s="3"/>
      <c r="F18" s="3"/>
      <c r="G18" s="3"/>
      <c r="H18" s="3"/>
    </row>
    <row r="19" spans="1:8" x14ac:dyDescent="0.2">
      <c r="A19" s="3"/>
      <c r="B19" s="3"/>
      <c r="C19" s="3"/>
      <c r="D19" s="3"/>
      <c r="E19" s="3"/>
      <c r="F19" s="3"/>
      <c r="G19" s="3"/>
      <c r="H19" s="3"/>
    </row>
    <row r="20" spans="1:8" x14ac:dyDescent="0.2">
      <c r="A20" s="3"/>
      <c r="B20" s="3"/>
      <c r="C20" s="3"/>
      <c r="D20" s="3"/>
      <c r="E20" s="3"/>
      <c r="F20" s="3"/>
      <c r="G20" s="3"/>
      <c r="H20" s="3"/>
    </row>
    <row r="21" spans="1:8" x14ac:dyDescent="0.2">
      <c r="A21" s="3"/>
      <c r="B21" s="3"/>
      <c r="C21" s="3"/>
      <c r="D21" s="3"/>
      <c r="E21" s="3"/>
      <c r="F21" s="3"/>
      <c r="G21" s="3"/>
      <c r="H21" s="3"/>
    </row>
    <row r="22" spans="1:8" x14ac:dyDescent="0.2">
      <c r="A22" s="3"/>
      <c r="B22" s="3"/>
      <c r="C22" s="3"/>
      <c r="D22" s="3"/>
      <c r="E22" s="3"/>
      <c r="F22" s="3"/>
      <c r="G22" s="3"/>
      <c r="H22" s="3"/>
    </row>
    <row r="23" spans="1:8" x14ac:dyDescent="0.2">
      <c r="A23" s="3"/>
      <c r="B23" s="3"/>
      <c r="C23" s="3"/>
      <c r="D23" s="3"/>
      <c r="E23" s="3"/>
      <c r="F23" s="3"/>
      <c r="G23" s="3"/>
      <c r="H23" s="3"/>
    </row>
    <row r="24" spans="1:8" x14ac:dyDescent="0.2">
      <c r="A24" s="3"/>
      <c r="B24" s="3"/>
      <c r="C24" s="3"/>
      <c r="D24" s="3"/>
      <c r="E24" s="3"/>
      <c r="F24" s="3"/>
      <c r="G24" s="3"/>
      <c r="H24" s="3"/>
    </row>
    <row r="25" spans="1:8" x14ac:dyDescent="0.2">
      <c r="A25" s="3"/>
      <c r="B25" s="3"/>
      <c r="C25" s="3"/>
      <c r="D25" s="3"/>
      <c r="E25" s="3"/>
      <c r="F25" s="3"/>
      <c r="G25" s="3"/>
      <c r="H25" s="3"/>
    </row>
    <row r="26" spans="1:8" x14ac:dyDescent="0.2">
      <c r="A26" s="3"/>
      <c r="B26" s="3"/>
      <c r="C26" s="3"/>
      <c r="D26" s="3"/>
      <c r="E26" s="3"/>
      <c r="F26" s="3"/>
      <c r="G26" s="3"/>
      <c r="H26" s="3"/>
    </row>
    <row r="27" spans="1:8" x14ac:dyDescent="0.2">
      <c r="A27" s="3"/>
      <c r="B27" s="3"/>
      <c r="C27" s="3"/>
      <c r="D27" s="3"/>
      <c r="E27" s="3"/>
      <c r="F27" s="3"/>
      <c r="G27" s="3"/>
      <c r="H27" s="3"/>
    </row>
    <row r="28" spans="1:8" x14ac:dyDescent="0.2">
      <c r="A28" s="3"/>
      <c r="B28" s="3"/>
      <c r="C28" s="3"/>
      <c r="D28" s="3"/>
      <c r="E28" s="3"/>
      <c r="F28" s="3"/>
      <c r="G28" s="3"/>
      <c r="H28" s="3"/>
    </row>
    <row r="29" spans="1:8" x14ac:dyDescent="0.2">
      <c r="A29" s="3"/>
      <c r="B29" s="3"/>
      <c r="C29" s="3"/>
      <c r="D29" s="3"/>
      <c r="E29" s="3"/>
      <c r="F29" s="3"/>
      <c r="G29" s="3"/>
      <c r="H29" s="3"/>
    </row>
    <row r="30" spans="1:8" x14ac:dyDescent="0.2">
      <c r="A30" s="3"/>
      <c r="B30" s="3"/>
      <c r="C30" s="3"/>
      <c r="D30" s="3"/>
      <c r="E30" s="3"/>
      <c r="F30" s="3"/>
      <c r="G30" s="3"/>
      <c r="H30" s="3"/>
    </row>
  </sheetData>
  <mergeCells count="1">
    <mergeCell ref="A1:H1"/>
  </mergeCells>
  <conditionalFormatting sqref="A3:H100">
    <cfRule type="expression" dxfId="11" priority="1">
      <formula>$G3="No"</formula>
    </cfRule>
  </conditionalFormatting>
  <dataValidations count="4">
    <dataValidation type="decimal" operator="greaterThan" allowBlank="1" error="Poll rate must be &gt; 0 seconds" sqref="E3:E30" xr:uid="{00000000-0002-0000-0000-000002000000}">
      <formula1>0</formula1>
    </dataValidation>
    <dataValidation type="decimal" operator="greaterThan" allowBlank="1" error="Timeout must be &gt; 0 seconds" sqref="F3:F30" xr:uid="{00000000-0002-0000-0000-000003000000}">
      <formula1>0</formula1>
    </dataValidation>
    <dataValidation type="list" allowBlank="1" showInputMessage="1" showErrorMessage="1" sqref="G3:G100" xr:uid="{F65A9D58-74C4-9143-82F6-A52C58E83549}">
      <formula1>"Yes,No"</formula1>
    </dataValidation>
    <dataValidation type="list" allowBlank="1" showInputMessage="1" showErrorMessage="1" sqref="B3:B100" xr:uid="{47EE1652-CBEC-0848-A537-A2FD987819FA}">
      <formula1>"daqmx,gpib,serial,tcp,modbus"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L60"/>
  <sheetViews>
    <sheetView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20" customWidth="1"/>
    <col min="2" max="2" width="14" customWidth="1"/>
    <col min="3" max="3" width="22" customWidth="1"/>
    <col min="4" max="4" width="14" customWidth="1"/>
    <col min="5" max="5" width="16" customWidth="1"/>
    <col min="6" max="6" width="12" customWidth="1"/>
    <col min="7" max="8" width="10" customWidth="1"/>
    <col min="9" max="11" width="12" customWidth="1"/>
    <col min="12" max="12" width="28" customWidth="1"/>
  </cols>
  <sheetData>
    <row r="1" spans="1:12" x14ac:dyDescent="0.2">
      <c r="A1" s="4" t="s">
        <v>28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7</v>
      </c>
      <c r="L2" s="1" t="s">
        <v>8</v>
      </c>
    </row>
    <row r="3" spans="1:12" x14ac:dyDescent="0.2">
      <c r="A3" s="2" t="s">
        <v>9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>
        <v>100</v>
      </c>
      <c r="H3" s="2">
        <v>0</v>
      </c>
      <c r="I3" s="2">
        <v>0</v>
      </c>
      <c r="J3" s="2">
        <v>500</v>
      </c>
      <c r="K3" s="2" t="s">
        <v>12</v>
      </c>
      <c r="L3" s="2" t="s">
        <v>44</v>
      </c>
    </row>
    <row r="4" spans="1:12" x14ac:dyDescent="0.2">
      <c r="A4" s="2" t="s">
        <v>9</v>
      </c>
      <c r="B4" s="2" t="s">
        <v>45</v>
      </c>
      <c r="C4" s="2" t="s">
        <v>46</v>
      </c>
      <c r="D4" s="2" t="s">
        <v>41</v>
      </c>
      <c r="E4" s="2" t="s">
        <v>42</v>
      </c>
      <c r="F4" s="2" t="s">
        <v>43</v>
      </c>
      <c r="G4" s="2">
        <v>100</v>
      </c>
      <c r="H4" s="2">
        <v>0</v>
      </c>
      <c r="I4" s="2">
        <v>0</v>
      </c>
      <c r="J4" s="2">
        <v>100</v>
      </c>
      <c r="K4" s="2" t="s">
        <v>12</v>
      </c>
      <c r="L4" s="2" t="s">
        <v>44</v>
      </c>
    </row>
    <row r="5" spans="1:12" x14ac:dyDescent="0.2">
      <c r="A5" s="2" t="s">
        <v>9</v>
      </c>
      <c r="B5" s="2" t="s">
        <v>47</v>
      </c>
      <c r="C5" s="2" t="s">
        <v>48</v>
      </c>
      <c r="D5" s="2" t="s">
        <v>49</v>
      </c>
      <c r="E5" s="2" t="s">
        <v>42</v>
      </c>
      <c r="F5" s="2" t="s">
        <v>50</v>
      </c>
      <c r="G5" s="2">
        <v>10</v>
      </c>
      <c r="H5" s="2">
        <v>0</v>
      </c>
      <c r="I5" s="2">
        <v>0</v>
      </c>
      <c r="J5" s="2">
        <v>100</v>
      </c>
      <c r="K5" s="2" t="s">
        <v>12</v>
      </c>
      <c r="L5" s="2" t="s">
        <v>51</v>
      </c>
    </row>
    <row r="6" spans="1:12" x14ac:dyDescent="0.2">
      <c r="A6" s="2" t="s">
        <v>14</v>
      </c>
      <c r="B6" s="2" t="s">
        <v>52</v>
      </c>
      <c r="C6" s="2" t="s">
        <v>53</v>
      </c>
      <c r="D6" s="2" t="s">
        <v>41</v>
      </c>
      <c r="E6" s="2" t="s">
        <v>54</v>
      </c>
      <c r="F6" s="2" t="s">
        <v>55</v>
      </c>
      <c r="G6" s="2">
        <v>1</v>
      </c>
      <c r="H6" s="2">
        <v>0</v>
      </c>
      <c r="I6" s="2">
        <v>0</v>
      </c>
      <c r="J6" s="2">
        <v>760</v>
      </c>
      <c r="K6" s="2" t="s">
        <v>12</v>
      </c>
      <c r="L6" s="2"/>
    </row>
    <row r="7" spans="1:12" x14ac:dyDescent="0.2">
      <c r="A7" s="2" t="s">
        <v>19</v>
      </c>
      <c r="B7" s="2" t="s">
        <v>52</v>
      </c>
      <c r="C7" s="2" t="s">
        <v>56</v>
      </c>
      <c r="D7" s="2" t="s">
        <v>41</v>
      </c>
      <c r="E7" s="2" t="s">
        <v>54</v>
      </c>
      <c r="F7" s="2" t="s">
        <v>57</v>
      </c>
      <c r="G7" s="2">
        <v>1</v>
      </c>
      <c r="H7" s="2">
        <v>0</v>
      </c>
      <c r="I7" s="2">
        <v>0</v>
      </c>
      <c r="J7" s="2">
        <v>500</v>
      </c>
      <c r="K7" s="2" t="s">
        <v>12</v>
      </c>
      <c r="L7" s="2"/>
    </row>
    <row r="8" spans="1:12" x14ac:dyDescent="0.2">
      <c r="A8" s="2" t="s">
        <v>19</v>
      </c>
      <c r="B8" s="2" t="s">
        <v>58</v>
      </c>
      <c r="C8" s="2" t="s">
        <v>59</v>
      </c>
      <c r="D8" s="2" t="s">
        <v>49</v>
      </c>
      <c r="E8" s="2" t="s">
        <v>54</v>
      </c>
      <c r="F8" s="2" t="s">
        <v>57</v>
      </c>
      <c r="G8" s="2">
        <v>1</v>
      </c>
      <c r="H8" s="2">
        <v>0</v>
      </c>
      <c r="I8" s="2">
        <v>0</v>
      </c>
      <c r="J8" s="2">
        <v>500</v>
      </c>
      <c r="K8" s="2" t="s">
        <v>12</v>
      </c>
      <c r="L8" s="2" t="s">
        <v>60</v>
      </c>
    </row>
    <row r="9" spans="1:12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</sheetData>
  <mergeCells count="1">
    <mergeCell ref="A1:L1"/>
  </mergeCells>
  <conditionalFormatting sqref="A3:L100">
    <cfRule type="expression" dxfId="10" priority="1">
      <formula>$K3="No"</formula>
    </cfRule>
  </conditionalFormatting>
  <conditionalFormatting sqref="D3:D100">
    <cfRule type="expression" dxfId="9" priority="2">
      <formula>$D3="input"</formula>
    </cfRule>
  </conditionalFormatting>
  <conditionalFormatting sqref="D3:D100">
    <cfRule type="expression" dxfId="8" priority="3">
      <formula>$D3="output"</formula>
    </cfRule>
  </conditionalFormatting>
  <dataValidations count="5">
    <dataValidation type="list" allowBlank="1" sqref="E3:E60" xr:uid="{00000000-0002-0000-0100-000002000000}">
      <formula1>"voltage,current,thermocouple,rtd,digital,string,frequency"</formula1>
    </dataValidation>
    <dataValidation type="list" allowBlank="1" prompt="Select or type custom units" sqref="F3:F60" xr:uid="{00000000-0002-0000-0100-000003000000}">
      <formula1>"degC,degF,K,torr,mbar,Pa,psi,sccm,slm,V,mV,A,mA,%,counts,ohm"</formula1>
    </dataValidation>
    <dataValidation type="decimal" allowBlank="1" sqref="I3:J60" xr:uid="{00000000-0002-0000-0100-000005000000}"/>
    <dataValidation type="list" allowBlank="1" showInputMessage="1" showErrorMessage="1" sqref="D3:D100" xr:uid="{9177D118-CEC2-DB44-A2AE-259648082FC3}">
      <formula1>"input,output"</formula1>
    </dataValidation>
    <dataValidation type="list" allowBlank="1" showInputMessage="1" showErrorMessage="1" sqref="K3:K100" xr:uid="{6EDCBDA7-B5D3-744F-92C5-8F9EF6E912CA}">
      <formula1>"Yes,No"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Instrument" error="Please select an instrument defined on the Instruments sheet." xr:uid="{F99D7CE9-8816-D14D-B441-9F88AB60DD9D}">
          <x14:formula1>
            <xm:f>Instruments!$A$3:$A$100</xm:f>
          </x14:formula1>
          <xm:sqref>A3:A100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A1:N22"/>
  <sheetViews>
    <sheetView workbookViewId="0">
      <pane ySplit="2" topLeftCell="A3" activePane="bottomLeft" state="frozen"/>
      <selection pane="bottomLeft" sqref="A1:N1"/>
    </sheetView>
  </sheetViews>
  <sheetFormatPr baseColWidth="10" defaultColWidth="8.83203125" defaultRowHeight="15" x14ac:dyDescent="0.2"/>
  <cols>
    <col min="1" max="1" width="18" customWidth="1"/>
    <col min="2" max="2" width="20" customWidth="1"/>
    <col min="3" max="4" width="12" customWidth="1"/>
    <col min="5" max="5" width="20" customWidth="1"/>
    <col min="6" max="10" width="10" customWidth="1"/>
    <col min="11" max="11" width="16" customWidth="1"/>
    <col min="12" max="13" width="12" customWidth="1"/>
    <col min="14" max="14" width="28" customWidth="1"/>
  </cols>
  <sheetData>
    <row r="1" spans="1:14" x14ac:dyDescent="0.2">
      <c r="A1" s="4" t="s">
        <v>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</v>
      </c>
      <c r="N2" s="1" t="s">
        <v>8</v>
      </c>
    </row>
    <row r="3" spans="1:14" x14ac:dyDescent="0.2">
      <c r="A3" s="2" t="s">
        <v>74</v>
      </c>
      <c r="B3" s="2" t="s">
        <v>40</v>
      </c>
      <c r="C3" s="2">
        <v>150</v>
      </c>
      <c r="D3" s="2" t="s">
        <v>43</v>
      </c>
      <c r="E3" s="2" t="s">
        <v>48</v>
      </c>
      <c r="F3" s="2">
        <v>0</v>
      </c>
      <c r="G3" s="2">
        <v>100</v>
      </c>
      <c r="H3" s="2">
        <v>2.5</v>
      </c>
      <c r="I3" s="2">
        <v>0.1</v>
      </c>
      <c r="J3" s="2">
        <v>0.05</v>
      </c>
      <c r="K3" s="2">
        <v>0.1</v>
      </c>
      <c r="L3" s="2" t="s">
        <v>75</v>
      </c>
      <c r="M3" s="2" t="s">
        <v>12</v>
      </c>
      <c r="N3" s="2" t="s">
        <v>76</v>
      </c>
    </row>
    <row r="4" spans="1:14" x14ac:dyDescent="0.2">
      <c r="A4" s="2" t="s">
        <v>77</v>
      </c>
      <c r="B4" s="2" t="s">
        <v>53</v>
      </c>
      <c r="C4" s="2">
        <v>1E-3</v>
      </c>
      <c r="D4" s="2" t="s">
        <v>55</v>
      </c>
      <c r="E4" s="2" t="s">
        <v>59</v>
      </c>
      <c r="F4" s="2">
        <v>0</v>
      </c>
      <c r="G4" s="2">
        <v>500</v>
      </c>
      <c r="H4" s="2">
        <v>1</v>
      </c>
      <c r="I4" s="2">
        <v>0.5</v>
      </c>
      <c r="J4" s="2">
        <v>0</v>
      </c>
      <c r="K4" s="2">
        <v>0.5</v>
      </c>
      <c r="L4" s="2" t="s">
        <v>78</v>
      </c>
      <c r="M4" s="2" t="s">
        <v>12</v>
      </c>
      <c r="N4" s="2" t="s">
        <v>79</v>
      </c>
    </row>
    <row r="5" spans="1:14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</sheetData>
  <mergeCells count="1">
    <mergeCell ref="A1:N1"/>
  </mergeCells>
  <conditionalFormatting sqref="A3:N100">
    <cfRule type="expression" dxfId="7" priority="1">
      <formula>$M3="No"</formula>
    </cfRule>
  </conditionalFormatting>
  <dataValidations count="5">
    <dataValidation type="list" allowBlank="1" sqref="D3:D22" xr:uid="{00000000-0002-0000-0200-000002000000}">
      <formula1>"degC,degF,K,torr,mbar,Pa,psi,sccm,slm,V,mV,A,mA,%,counts,ohm"</formula1>
    </dataValidation>
    <dataValidation type="decimal" operator="greaterThanOrEqual" allowBlank="1" error="Must be &gt;= 0" sqref="H3:J22" xr:uid="{00000000-0002-0000-0200-000005000000}">
      <formula1>0</formula1>
    </dataValidation>
    <dataValidation type="decimal" operator="greaterThan" allowBlank="1" error="Sample time must be &gt; 0" sqref="K3:K22" xr:uid="{00000000-0002-0000-0200-000006000000}">
      <formula1>0</formula1>
    </dataValidation>
    <dataValidation type="list" allowBlank="1" showInputMessage="1" showErrorMessage="1" sqref="L3:L100" xr:uid="{EFAF5DFE-3C2A-494E-9A02-AA5B97580921}">
      <formula1>"auto,manual"</formula1>
    </dataValidation>
    <dataValidation type="list" allowBlank="1" showInputMessage="1" showErrorMessage="1" sqref="M3:M100" xr:uid="{5C373DA9-71E7-B143-AC34-63E4E8416817}">
      <formula1>"Yes,No"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Channel" error="Please select a channel defined on the Channels sheet." xr:uid="{F74EA91B-572B-2C40-BF31-3D9F684E6CC5}">
          <x14:formula1>
            <xm:f>Channels!$C$3:$C$100</xm:f>
          </x14:formula1>
          <xm:sqref>B3:B100</xm:sqref>
        </x14:dataValidation>
        <x14:dataValidation type="list" allowBlank="1" showInputMessage="1" showErrorMessage="1" errorTitle="Invalid Channel" error="Please select an output channel defined on the Channels sheet." xr:uid="{CF3E0D95-616B-824E-9DB2-67B2064D2A72}">
          <x14:formula1>
            <xm:f>Channels!$C$3:$C$100</xm:f>
          </x14:formula1>
          <xm:sqref>E3:E100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I3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4" width="14" customWidth="1"/>
    <col min="5" max="5" width="16" customWidth="1"/>
    <col min="6" max="7" width="22" customWidth="1"/>
    <col min="8" max="8" width="12" customWidth="1"/>
    <col min="9" max="9" width="30" customWidth="1"/>
  </cols>
  <sheetData>
    <row r="1" spans="1:9" x14ac:dyDescent="0.2">
      <c r="A1" s="4" t="s">
        <v>150</v>
      </c>
      <c r="B1" s="5"/>
      <c r="C1" s="5"/>
      <c r="D1" s="5"/>
      <c r="E1" s="5"/>
      <c r="F1" s="5"/>
      <c r="G1" s="5"/>
      <c r="H1" s="5"/>
      <c r="I1" s="5"/>
    </row>
    <row r="2" spans="1:9" x14ac:dyDescent="0.2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  <c r="F2" s="1" t="s">
        <v>85</v>
      </c>
      <c r="G2" s="6" t="s">
        <v>151</v>
      </c>
      <c r="H2" s="1" t="s">
        <v>7</v>
      </c>
      <c r="I2" s="1" t="s">
        <v>8</v>
      </c>
    </row>
    <row r="3" spans="1:9" x14ac:dyDescent="0.2">
      <c r="A3" s="2" t="s">
        <v>86</v>
      </c>
      <c r="B3" s="2" t="s">
        <v>40</v>
      </c>
      <c r="C3" s="2" t="s">
        <v>87</v>
      </c>
      <c r="D3" s="2">
        <v>250</v>
      </c>
      <c r="E3" s="2" t="s">
        <v>88</v>
      </c>
      <c r="F3" s="2" t="s">
        <v>48</v>
      </c>
      <c r="G3" s="2">
        <v>0</v>
      </c>
      <c r="H3" s="2" t="s">
        <v>12</v>
      </c>
      <c r="I3" s="2" t="s">
        <v>89</v>
      </c>
    </row>
    <row r="4" spans="1:9" x14ac:dyDescent="0.2">
      <c r="A4" s="2" t="s">
        <v>90</v>
      </c>
      <c r="B4" s="2" t="s">
        <v>53</v>
      </c>
      <c r="C4" s="2" t="s">
        <v>91</v>
      </c>
      <c r="D4" s="7">
        <v>9.9999999999999995E-7</v>
      </c>
      <c r="E4" s="2" t="s">
        <v>92</v>
      </c>
      <c r="F4" s="2" t="s">
        <v>77</v>
      </c>
      <c r="G4" s="2"/>
      <c r="H4" s="2" t="s">
        <v>12</v>
      </c>
      <c r="I4" s="2" t="s">
        <v>93</v>
      </c>
    </row>
    <row r="5" spans="1:9" x14ac:dyDescent="0.2">
      <c r="A5" s="2" t="s">
        <v>94</v>
      </c>
      <c r="B5" s="2" t="s">
        <v>46</v>
      </c>
      <c r="C5" s="2" t="s">
        <v>87</v>
      </c>
      <c r="D5" s="2">
        <v>80</v>
      </c>
      <c r="E5" s="2" t="s">
        <v>88</v>
      </c>
      <c r="F5" s="2" t="s">
        <v>48</v>
      </c>
      <c r="G5" s="2">
        <v>0</v>
      </c>
      <c r="H5" s="2" t="s">
        <v>12</v>
      </c>
      <c r="I5" s="2" t="s">
        <v>95</v>
      </c>
    </row>
    <row r="6" spans="1:9" x14ac:dyDescent="0.2">
      <c r="A6" s="2" t="s">
        <v>96</v>
      </c>
      <c r="B6" s="2" t="s">
        <v>56</v>
      </c>
      <c r="C6" s="2" t="s">
        <v>91</v>
      </c>
      <c r="D6" s="2">
        <v>10</v>
      </c>
      <c r="E6" s="2" t="s">
        <v>97</v>
      </c>
      <c r="F6" s="2"/>
      <c r="G6" s="2"/>
      <c r="H6" s="2" t="s">
        <v>12</v>
      </c>
      <c r="I6" s="2" t="s">
        <v>98</v>
      </c>
    </row>
    <row r="7" spans="1:9" x14ac:dyDescent="0.2">
      <c r="A7" s="3"/>
      <c r="B7" s="3"/>
      <c r="C7" s="3"/>
      <c r="D7" s="3"/>
      <c r="E7" s="3"/>
      <c r="F7" s="3"/>
      <c r="G7" s="3"/>
      <c r="H7" s="3"/>
      <c r="I7" s="3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x14ac:dyDescent="0.2">
      <c r="A9" s="3"/>
      <c r="B9" s="3"/>
      <c r="C9" s="3"/>
      <c r="D9" s="3"/>
      <c r="E9" s="3"/>
      <c r="F9" s="3"/>
      <c r="G9" s="3"/>
      <c r="H9" s="3"/>
      <c r="I9" s="3"/>
    </row>
    <row r="10" spans="1:9" x14ac:dyDescent="0.2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">
      <c r="A32" s="3"/>
      <c r="B32" s="3"/>
      <c r="C32" s="3"/>
      <c r="D32" s="3"/>
      <c r="E32" s="3"/>
      <c r="F32" s="3"/>
      <c r="G32" s="3"/>
      <c r="H32" s="3"/>
      <c r="I32" s="3"/>
    </row>
  </sheetData>
  <mergeCells count="1">
    <mergeCell ref="A1:I1"/>
  </mergeCells>
  <conditionalFormatting sqref="A3:I100">
    <cfRule type="expression" dxfId="6" priority="1">
      <formula>$H3="No"</formula>
    </cfRule>
  </conditionalFormatting>
  <dataValidations count="3">
    <dataValidation type="list" allowBlank="1" showInputMessage="1" showErrorMessage="1" sqref="C3:C100" xr:uid="{C2CA6AE7-3BD5-D649-919E-1D192089BFFD}">
      <formula1>"&gt;,&lt;,&gt;=,&lt;=,==,!="</formula1>
    </dataValidation>
    <dataValidation type="list" allowBlank="1" showInputMessage="1" showErrorMessage="1" sqref="E3:E100" xr:uid="{BD1EC625-6780-CE4B-AEA9-E2935B8B1128}">
      <formula1>"set_output,disable_loop,alarm,emergency_stop"</formula1>
    </dataValidation>
    <dataValidation type="list" allowBlank="1" showInputMessage="1" showErrorMessage="1" sqref="H3:H100" xr:uid="{8F989A63-1216-2748-B17A-E073E6609362}">
      <formula1>"Yes,No"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Channel" error="Please select a channel defined on the Channels sheet." xr:uid="{9E0BAD03-B12D-1544-8D9A-F685666E6561}">
          <x14:formula1>
            <xm:f>Channels!$C$3:$C$100</xm:f>
          </x14:formula1>
          <xm:sqref>B3:B100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H42"/>
  <sheetViews>
    <sheetView workbookViewId="0">
      <pane ySplit="2" topLeftCell="A4" activePane="bottomLeft" state="frozen"/>
      <selection pane="bottomLeft" sqref="A1:H1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14" customWidth="1"/>
    <col min="4" max="5" width="16" customWidth="1"/>
    <col min="6" max="7" width="14" customWidth="1"/>
    <col min="8" max="8" width="28" customWidth="1"/>
  </cols>
  <sheetData>
    <row r="1" spans="1:8" x14ac:dyDescent="0.2">
      <c r="A1" s="4" t="s">
        <v>99</v>
      </c>
      <c r="B1" s="5"/>
      <c r="C1" s="5"/>
      <c r="D1" s="5"/>
      <c r="E1" s="5"/>
      <c r="F1" s="5"/>
      <c r="G1" s="5"/>
      <c r="H1" s="5"/>
    </row>
    <row r="2" spans="1:8" x14ac:dyDescent="0.2">
      <c r="A2" s="1" t="s">
        <v>81</v>
      </c>
      <c r="B2" s="1" t="s">
        <v>100</v>
      </c>
      <c r="C2" s="1" t="s">
        <v>101</v>
      </c>
      <c r="D2" s="1" t="s">
        <v>102</v>
      </c>
      <c r="E2" s="1" t="s">
        <v>103</v>
      </c>
      <c r="F2" s="1" t="s">
        <v>104</v>
      </c>
      <c r="G2" s="1" t="s">
        <v>105</v>
      </c>
      <c r="H2" s="1" t="s">
        <v>8</v>
      </c>
    </row>
    <row r="3" spans="1:8" x14ac:dyDescent="0.2">
      <c r="A3" s="2" t="s">
        <v>40</v>
      </c>
      <c r="B3" s="2" t="s">
        <v>12</v>
      </c>
      <c r="C3" s="2" t="s">
        <v>12</v>
      </c>
      <c r="D3" s="2" t="s">
        <v>106</v>
      </c>
      <c r="E3" s="2">
        <v>1</v>
      </c>
      <c r="F3" s="2">
        <v>50</v>
      </c>
      <c r="G3" s="2">
        <v>200</v>
      </c>
      <c r="H3" s="2" t="s">
        <v>107</v>
      </c>
    </row>
    <row r="4" spans="1:8" x14ac:dyDescent="0.2">
      <c r="A4" s="2" t="s">
        <v>46</v>
      </c>
      <c r="B4" s="2" t="s">
        <v>12</v>
      </c>
      <c r="C4" s="2" t="s">
        <v>12</v>
      </c>
      <c r="D4" s="2" t="s">
        <v>106</v>
      </c>
      <c r="E4" s="2">
        <v>1</v>
      </c>
      <c r="F4" s="2" t="s">
        <v>152</v>
      </c>
      <c r="G4" s="2">
        <v>80</v>
      </c>
      <c r="H4" s="2" t="s">
        <v>108</v>
      </c>
    </row>
    <row r="5" spans="1:8" x14ac:dyDescent="0.2">
      <c r="A5" s="2" t="s">
        <v>53</v>
      </c>
      <c r="B5" s="2" t="s">
        <v>12</v>
      </c>
      <c r="C5" s="2" t="s">
        <v>12</v>
      </c>
      <c r="D5" s="2" t="s">
        <v>109</v>
      </c>
      <c r="E5" s="2">
        <v>4</v>
      </c>
      <c r="F5" s="2" t="s">
        <v>152</v>
      </c>
      <c r="G5" s="2">
        <v>1</v>
      </c>
      <c r="H5" s="2"/>
    </row>
    <row r="6" spans="1:8" x14ac:dyDescent="0.2">
      <c r="A6" s="2" t="s">
        <v>56</v>
      </c>
      <c r="B6" s="2" t="s">
        <v>12</v>
      </c>
      <c r="C6" s="2" t="s">
        <v>12</v>
      </c>
      <c r="D6" s="2" t="s">
        <v>106</v>
      </c>
      <c r="E6" s="2">
        <v>1</v>
      </c>
      <c r="F6" s="2" t="s">
        <v>152</v>
      </c>
      <c r="G6" s="2" t="s">
        <v>152</v>
      </c>
      <c r="H6" s="2"/>
    </row>
    <row r="7" spans="1:8" x14ac:dyDescent="0.2">
      <c r="A7" s="2" t="s">
        <v>48</v>
      </c>
      <c r="B7" s="2" t="s">
        <v>12</v>
      </c>
      <c r="C7" s="2" t="s">
        <v>12</v>
      </c>
      <c r="D7" s="2" t="s">
        <v>106</v>
      </c>
      <c r="E7" s="2">
        <v>1</v>
      </c>
      <c r="F7" s="2" t="s">
        <v>152</v>
      </c>
      <c r="G7" s="2" t="s">
        <v>152</v>
      </c>
      <c r="H7" s="2" t="s">
        <v>110</v>
      </c>
    </row>
    <row r="8" spans="1:8" x14ac:dyDescent="0.2">
      <c r="A8" s="3"/>
      <c r="B8" s="3"/>
      <c r="C8" s="3"/>
      <c r="D8" s="3"/>
      <c r="E8" s="3"/>
      <c r="F8" s="3"/>
      <c r="G8" s="3"/>
      <c r="H8" s="3"/>
    </row>
    <row r="9" spans="1:8" x14ac:dyDescent="0.2">
      <c r="A9" s="3"/>
      <c r="B9" s="3"/>
      <c r="C9" s="3"/>
      <c r="D9" s="3"/>
      <c r="E9" s="3"/>
      <c r="F9" s="3"/>
      <c r="G9" s="3"/>
      <c r="H9" s="3"/>
    </row>
    <row r="10" spans="1:8" x14ac:dyDescent="0.2">
      <c r="A10" s="3"/>
      <c r="B10" s="3"/>
      <c r="C10" s="3"/>
      <c r="D10" s="3"/>
      <c r="E10" s="3"/>
      <c r="F10" s="3"/>
      <c r="G10" s="3"/>
      <c r="H10" s="3"/>
    </row>
    <row r="11" spans="1:8" x14ac:dyDescent="0.2">
      <c r="A11" s="3"/>
      <c r="B11" s="3"/>
      <c r="C11" s="3"/>
      <c r="D11" s="3"/>
      <c r="E11" s="3"/>
      <c r="F11" s="3"/>
      <c r="G11" s="3"/>
      <c r="H11" s="3"/>
    </row>
    <row r="12" spans="1:8" x14ac:dyDescent="0.2">
      <c r="A12" s="3"/>
      <c r="B12" s="3"/>
      <c r="C12" s="3"/>
      <c r="D12" s="3"/>
      <c r="E12" s="3"/>
      <c r="F12" s="3"/>
      <c r="G12" s="3"/>
      <c r="H12" s="3"/>
    </row>
    <row r="13" spans="1:8" x14ac:dyDescent="0.2">
      <c r="A13" s="3"/>
      <c r="B13" s="3"/>
      <c r="C13" s="3"/>
      <c r="D13" s="3"/>
      <c r="E13" s="3"/>
      <c r="F13" s="3"/>
      <c r="G13" s="3"/>
      <c r="H13" s="3"/>
    </row>
    <row r="14" spans="1:8" x14ac:dyDescent="0.2">
      <c r="A14" s="3"/>
      <c r="B14" s="3"/>
      <c r="C14" s="3"/>
      <c r="D14" s="3"/>
      <c r="E14" s="3"/>
      <c r="F14" s="3"/>
      <c r="G14" s="3"/>
      <c r="H14" s="3"/>
    </row>
    <row r="15" spans="1:8" x14ac:dyDescent="0.2">
      <c r="A15" s="3"/>
      <c r="B15" s="3"/>
      <c r="C15" s="3"/>
      <c r="D15" s="3"/>
      <c r="E15" s="3"/>
      <c r="F15" s="3"/>
      <c r="G15" s="3"/>
      <c r="H15" s="3"/>
    </row>
    <row r="16" spans="1:8" x14ac:dyDescent="0.2">
      <c r="A16" s="3"/>
      <c r="B16" s="3"/>
      <c r="C16" s="3"/>
      <c r="D16" s="3"/>
      <c r="E16" s="3"/>
      <c r="F16" s="3"/>
      <c r="G16" s="3"/>
      <c r="H16" s="3"/>
    </row>
    <row r="17" spans="1:8" x14ac:dyDescent="0.2">
      <c r="A17" s="3"/>
      <c r="B17" s="3"/>
      <c r="C17" s="3"/>
      <c r="D17" s="3"/>
      <c r="E17" s="3"/>
      <c r="F17" s="3"/>
      <c r="G17" s="3"/>
      <c r="H17" s="3"/>
    </row>
    <row r="18" spans="1:8" x14ac:dyDescent="0.2">
      <c r="A18" s="3"/>
      <c r="B18" s="3"/>
      <c r="C18" s="3"/>
      <c r="D18" s="3"/>
      <c r="E18" s="3"/>
      <c r="F18" s="3"/>
      <c r="G18" s="3"/>
      <c r="H18" s="3"/>
    </row>
    <row r="19" spans="1:8" x14ac:dyDescent="0.2">
      <c r="A19" s="3"/>
      <c r="B19" s="3"/>
      <c r="C19" s="3"/>
      <c r="D19" s="3"/>
      <c r="E19" s="3"/>
      <c r="F19" s="3"/>
      <c r="G19" s="3"/>
      <c r="H19" s="3"/>
    </row>
    <row r="20" spans="1:8" x14ac:dyDescent="0.2">
      <c r="A20" s="3"/>
      <c r="B20" s="3"/>
      <c r="C20" s="3"/>
      <c r="D20" s="3"/>
      <c r="E20" s="3"/>
      <c r="F20" s="3"/>
      <c r="G20" s="3"/>
      <c r="H20" s="3"/>
    </row>
    <row r="21" spans="1:8" x14ac:dyDescent="0.2">
      <c r="A21" s="3"/>
      <c r="B21" s="3"/>
      <c r="C21" s="3"/>
      <c r="D21" s="3"/>
      <c r="E21" s="3"/>
      <c r="F21" s="3"/>
      <c r="G21" s="3"/>
      <c r="H21" s="3"/>
    </row>
    <row r="22" spans="1:8" x14ac:dyDescent="0.2">
      <c r="A22" s="3"/>
      <c r="B22" s="3"/>
      <c r="C22" s="3"/>
      <c r="D22" s="3"/>
      <c r="E22" s="3"/>
      <c r="F22" s="3"/>
      <c r="G22" s="3"/>
      <c r="H22" s="3"/>
    </row>
    <row r="23" spans="1:8" x14ac:dyDescent="0.2">
      <c r="A23" s="3"/>
      <c r="B23" s="3"/>
      <c r="C23" s="3"/>
      <c r="D23" s="3"/>
      <c r="E23" s="3"/>
      <c r="F23" s="3"/>
      <c r="G23" s="3"/>
      <c r="H23" s="3"/>
    </row>
    <row r="24" spans="1:8" x14ac:dyDescent="0.2">
      <c r="A24" s="3"/>
      <c r="B24" s="3"/>
      <c r="C24" s="3"/>
      <c r="D24" s="3"/>
      <c r="E24" s="3"/>
      <c r="F24" s="3"/>
      <c r="G24" s="3"/>
      <c r="H24" s="3"/>
    </row>
    <row r="25" spans="1:8" x14ac:dyDescent="0.2">
      <c r="A25" s="3"/>
      <c r="B25" s="3"/>
      <c r="C25" s="3"/>
      <c r="D25" s="3"/>
      <c r="E25" s="3"/>
      <c r="F25" s="3"/>
      <c r="G25" s="3"/>
      <c r="H25" s="3"/>
    </row>
    <row r="26" spans="1:8" x14ac:dyDescent="0.2">
      <c r="A26" s="3"/>
      <c r="B26" s="3"/>
      <c r="C26" s="3"/>
      <c r="D26" s="3"/>
      <c r="E26" s="3"/>
      <c r="F26" s="3"/>
      <c r="G26" s="3"/>
      <c r="H26" s="3"/>
    </row>
    <row r="27" spans="1:8" x14ac:dyDescent="0.2">
      <c r="A27" s="3"/>
      <c r="B27" s="3"/>
      <c r="C27" s="3"/>
      <c r="D27" s="3"/>
      <c r="E27" s="3"/>
      <c r="F27" s="3"/>
      <c r="G27" s="3"/>
      <c r="H27" s="3"/>
    </row>
    <row r="28" spans="1:8" x14ac:dyDescent="0.2">
      <c r="A28" s="3"/>
      <c r="B28" s="3"/>
      <c r="C28" s="3"/>
      <c r="D28" s="3"/>
      <c r="E28" s="3"/>
      <c r="F28" s="3"/>
      <c r="G28" s="3"/>
      <c r="H28" s="3"/>
    </row>
    <row r="29" spans="1:8" x14ac:dyDescent="0.2">
      <c r="A29" s="3"/>
      <c r="B29" s="3"/>
      <c r="C29" s="3"/>
      <c r="D29" s="3"/>
      <c r="E29" s="3"/>
      <c r="F29" s="3"/>
      <c r="G29" s="3"/>
      <c r="H29" s="3"/>
    </row>
    <row r="30" spans="1:8" x14ac:dyDescent="0.2">
      <c r="A30" s="3"/>
      <c r="B30" s="3"/>
      <c r="C30" s="3"/>
      <c r="D30" s="3"/>
      <c r="E30" s="3"/>
      <c r="F30" s="3"/>
      <c r="G30" s="3"/>
      <c r="H30" s="3"/>
    </row>
    <row r="31" spans="1:8" x14ac:dyDescent="0.2">
      <c r="A31" s="3"/>
      <c r="B31" s="3"/>
      <c r="C31" s="3"/>
      <c r="D31" s="3"/>
      <c r="E31" s="3"/>
      <c r="F31" s="3"/>
      <c r="G31" s="3"/>
      <c r="H31" s="3"/>
    </row>
    <row r="32" spans="1:8" x14ac:dyDescent="0.2">
      <c r="A32" s="3"/>
      <c r="B32" s="3"/>
      <c r="C32" s="3"/>
      <c r="D32" s="3"/>
      <c r="E32" s="3"/>
      <c r="F32" s="3"/>
      <c r="G32" s="3"/>
      <c r="H32" s="3"/>
    </row>
    <row r="33" spans="1:8" x14ac:dyDescent="0.2">
      <c r="A33" s="3"/>
      <c r="B33" s="3"/>
      <c r="C33" s="3"/>
      <c r="D33" s="3"/>
      <c r="E33" s="3"/>
      <c r="F33" s="3"/>
      <c r="G33" s="3"/>
      <c r="H33" s="3"/>
    </row>
    <row r="34" spans="1:8" x14ac:dyDescent="0.2">
      <c r="A34" s="3"/>
      <c r="B34" s="3"/>
      <c r="C34" s="3"/>
      <c r="D34" s="3"/>
      <c r="E34" s="3"/>
      <c r="F34" s="3"/>
      <c r="G34" s="3"/>
      <c r="H34" s="3"/>
    </row>
    <row r="35" spans="1:8" x14ac:dyDescent="0.2">
      <c r="A35" s="3"/>
      <c r="B35" s="3"/>
      <c r="C35" s="3"/>
      <c r="D35" s="3"/>
      <c r="E35" s="3"/>
      <c r="F35" s="3"/>
      <c r="G35" s="3"/>
      <c r="H35" s="3"/>
    </row>
    <row r="36" spans="1:8" x14ac:dyDescent="0.2">
      <c r="A36" s="3"/>
      <c r="B36" s="3"/>
      <c r="C36" s="3"/>
      <c r="D36" s="3"/>
      <c r="E36" s="3"/>
      <c r="F36" s="3"/>
      <c r="G36" s="3"/>
      <c r="H36" s="3"/>
    </row>
    <row r="37" spans="1:8" x14ac:dyDescent="0.2">
      <c r="A37" s="3"/>
      <c r="B37" s="3"/>
      <c r="C37" s="3"/>
      <c r="D37" s="3"/>
      <c r="E37" s="3"/>
      <c r="F37" s="3"/>
      <c r="G37" s="3"/>
      <c r="H37" s="3"/>
    </row>
    <row r="38" spans="1:8" x14ac:dyDescent="0.2">
      <c r="A38" s="3"/>
      <c r="B38" s="3"/>
      <c r="C38" s="3"/>
      <c r="D38" s="3"/>
      <c r="E38" s="3"/>
      <c r="F38" s="3"/>
      <c r="G38" s="3"/>
      <c r="H38" s="3"/>
    </row>
    <row r="39" spans="1:8" x14ac:dyDescent="0.2">
      <c r="A39" s="3"/>
      <c r="B39" s="3"/>
      <c r="C39" s="3"/>
      <c r="D39" s="3"/>
      <c r="E39" s="3"/>
      <c r="F39" s="3"/>
      <c r="G39" s="3"/>
      <c r="H39" s="3"/>
    </row>
    <row r="40" spans="1:8" x14ac:dyDescent="0.2">
      <c r="A40" s="3"/>
      <c r="B40" s="3"/>
      <c r="C40" s="3"/>
      <c r="D40" s="3"/>
      <c r="E40" s="3"/>
      <c r="F40" s="3"/>
      <c r="G40" s="3"/>
      <c r="H40" s="3"/>
    </row>
    <row r="41" spans="1:8" x14ac:dyDescent="0.2">
      <c r="A41" s="3"/>
      <c r="B41" s="3"/>
      <c r="C41" s="3"/>
      <c r="D41" s="3"/>
      <c r="E41" s="3"/>
      <c r="F41" s="3"/>
      <c r="G41" s="3"/>
      <c r="H41" s="3"/>
    </row>
    <row r="42" spans="1:8" x14ac:dyDescent="0.2">
      <c r="A42" s="3"/>
      <c r="B42" s="3"/>
      <c r="C42" s="3"/>
      <c r="D42" s="3"/>
      <c r="E42" s="3"/>
      <c r="F42" s="3"/>
      <c r="G42" s="3"/>
      <c r="H42" s="3"/>
    </row>
  </sheetData>
  <mergeCells count="1">
    <mergeCell ref="A1:H1"/>
  </mergeCells>
  <conditionalFormatting sqref="F3:F100">
    <cfRule type="expression" dxfId="5" priority="1">
      <formula>AND(ISNUMBER($F3),ISNUMBER($G3),$F3&gt;$G3)</formula>
    </cfRule>
  </conditionalFormatting>
  <conditionalFormatting sqref="G3:G100">
    <cfRule type="expression" dxfId="4" priority="2">
      <formula>AND(ISNUMBER($F3),ISNUMBER($G3),$F3&gt;$G3)</formula>
    </cfRule>
  </conditionalFormatting>
  <dataValidations count="2">
    <dataValidation type="list" allowBlank="1" sqref="D3:D42" xr:uid="{00000000-0002-0000-0400-000003000000}">
      <formula1>"0,0.0,0.00,0.000,0.00e+0,0.0e+0"</formula1>
    </dataValidation>
    <dataValidation type="list" allowBlank="1" showInputMessage="1" showErrorMessage="1" sqref="B3:B100 C3:C100" xr:uid="{B742DD9B-5BC0-B246-A0CD-93F63C4566F6}">
      <formula1>"Yes,No"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Channel" error="Please select a channel defined on the Channels sheet." xr:uid="{EB071F3C-B45B-7344-B31A-59360D947354}">
          <x14:formula1>
            <xm:f>Channels!$C$3:$C$100</xm:f>
          </x14:formula1>
          <xm:sqref>A3:A100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6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3" width="24" customWidth="1"/>
    <col min="4" max="7" width="16" customWidth="1"/>
    <col min="8" max="8" width="30" customWidth="1"/>
  </cols>
  <sheetData>
    <row r="1" spans="1:8" x14ac:dyDescent="0.2">
      <c r="A1" s="4" t="s">
        <v>153</v>
      </c>
      <c r="B1" s="5"/>
      <c r="C1" s="5"/>
      <c r="D1" s="5"/>
      <c r="E1" s="5"/>
      <c r="F1" s="5"/>
      <c r="G1" s="5"/>
      <c r="H1" s="5"/>
    </row>
    <row r="2" spans="1:8" ht="30" x14ac:dyDescent="0.2">
      <c r="A2" s="1" t="s">
        <v>111</v>
      </c>
      <c r="B2" s="1" t="s">
        <v>112</v>
      </c>
      <c r="C2" s="1" t="s">
        <v>113</v>
      </c>
      <c r="D2" s="8" t="s">
        <v>114</v>
      </c>
      <c r="E2" s="6" t="s">
        <v>154</v>
      </c>
      <c r="F2" s="6" t="s">
        <v>155</v>
      </c>
      <c r="G2" s="6" t="s">
        <v>156</v>
      </c>
      <c r="H2" s="10" t="s">
        <v>8</v>
      </c>
    </row>
    <row r="3" spans="1:8" x14ac:dyDescent="0.2">
      <c r="A3" s="2">
        <v>1</v>
      </c>
      <c r="B3" s="2">
        <v>100</v>
      </c>
      <c r="C3" s="2">
        <v>0.01</v>
      </c>
      <c r="D3" s="9">
        <v>300</v>
      </c>
      <c r="E3" s="2">
        <v>10</v>
      </c>
      <c r="F3" s="2" t="s">
        <v>12</v>
      </c>
      <c r="G3" s="2"/>
      <c r="H3" s="11" t="s">
        <v>115</v>
      </c>
    </row>
    <row r="4" spans="1:8" x14ac:dyDescent="0.2">
      <c r="A4" s="2">
        <v>2</v>
      </c>
      <c r="B4" s="2">
        <v>150</v>
      </c>
      <c r="C4" s="2">
        <v>1E-3</v>
      </c>
      <c r="D4" s="9">
        <v>600</v>
      </c>
      <c r="E4" s="2">
        <v>5</v>
      </c>
      <c r="F4" s="2" t="s">
        <v>12</v>
      </c>
      <c r="G4" s="2">
        <v>1</v>
      </c>
      <c r="H4" s="11" t="s">
        <v>116</v>
      </c>
    </row>
    <row r="5" spans="1:8" x14ac:dyDescent="0.2">
      <c r="A5" s="2">
        <v>3</v>
      </c>
      <c r="B5" s="2">
        <v>200</v>
      </c>
      <c r="C5" s="2">
        <v>1E-3</v>
      </c>
      <c r="D5" s="9">
        <v>600</v>
      </c>
      <c r="E5" s="2">
        <v>5</v>
      </c>
      <c r="F5" s="2" t="s">
        <v>12</v>
      </c>
      <c r="G5" s="2">
        <v>1</v>
      </c>
      <c r="H5" s="11" t="s">
        <v>117</v>
      </c>
    </row>
    <row r="6" spans="1:8" x14ac:dyDescent="0.2">
      <c r="A6" s="2">
        <v>4</v>
      </c>
      <c r="B6" s="2">
        <v>150</v>
      </c>
      <c r="C6" s="2">
        <v>0.01</v>
      </c>
      <c r="D6" s="9">
        <v>300</v>
      </c>
      <c r="E6" s="2">
        <v>10</v>
      </c>
      <c r="F6" s="2" t="s">
        <v>12</v>
      </c>
      <c r="G6" s="2">
        <v>5</v>
      </c>
      <c r="H6" s="11" t="s">
        <v>118</v>
      </c>
    </row>
    <row r="7" spans="1:8" x14ac:dyDescent="0.2">
      <c r="A7" s="2">
        <v>5</v>
      </c>
      <c r="B7" s="2">
        <v>25</v>
      </c>
      <c r="C7" s="2">
        <v>0.1</v>
      </c>
      <c r="D7" s="9">
        <v>60</v>
      </c>
      <c r="E7" s="2"/>
      <c r="F7" s="2" t="s">
        <v>135</v>
      </c>
      <c r="G7" s="2"/>
      <c r="H7" s="11" t="s">
        <v>119</v>
      </c>
    </row>
    <row r="8" spans="1:8" x14ac:dyDescent="0.2">
      <c r="A8" s="3"/>
      <c r="B8" s="3"/>
      <c r="C8" s="3"/>
      <c r="D8" s="3"/>
      <c r="E8" s="12"/>
      <c r="F8" s="12"/>
      <c r="G8" s="12"/>
      <c r="H8" s="3"/>
    </row>
    <row r="9" spans="1:8" x14ac:dyDescent="0.2">
      <c r="A9" s="3"/>
      <c r="B9" s="3"/>
      <c r="C9" s="3"/>
      <c r="D9" s="3"/>
      <c r="E9" s="3"/>
      <c r="F9" s="3"/>
      <c r="G9" s="3"/>
      <c r="H9" s="3"/>
    </row>
    <row r="10" spans="1:8" x14ac:dyDescent="0.2">
      <c r="A10" s="3"/>
      <c r="B10" s="3"/>
      <c r="C10" s="3"/>
      <c r="D10" s="3"/>
      <c r="E10" s="3"/>
      <c r="F10" s="3"/>
      <c r="G10" s="3"/>
      <c r="H10" s="3"/>
    </row>
    <row r="11" spans="1:8" x14ac:dyDescent="0.2">
      <c r="A11" s="3"/>
      <c r="B11" s="3"/>
      <c r="C11" s="3"/>
      <c r="D11" s="3"/>
      <c r="E11" s="3"/>
      <c r="F11" s="3"/>
      <c r="G11" s="3"/>
      <c r="H11" s="3"/>
    </row>
    <row r="12" spans="1:8" x14ac:dyDescent="0.2">
      <c r="A12" s="3"/>
      <c r="B12" s="3"/>
      <c r="C12" s="3"/>
      <c r="D12" s="3"/>
      <c r="E12" s="3"/>
      <c r="F12" s="3"/>
      <c r="G12" s="3"/>
      <c r="H12" s="3"/>
    </row>
    <row r="13" spans="1:8" x14ac:dyDescent="0.2">
      <c r="A13" s="3"/>
      <c r="B13" s="3"/>
      <c r="C13" s="3"/>
      <c r="D13" s="3"/>
      <c r="E13" s="3"/>
      <c r="F13" s="3"/>
      <c r="G13" s="3"/>
      <c r="H13" s="3"/>
    </row>
    <row r="14" spans="1:8" x14ac:dyDescent="0.2">
      <c r="A14" s="3"/>
      <c r="B14" s="3"/>
      <c r="C14" s="3"/>
      <c r="D14" s="3"/>
      <c r="E14" s="3"/>
      <c r="F14" s="3"/>
      <c r="G14" s="3"/>
      <c r="H14" s="3"/>
    </row>
    <row r="15" spans="1:8" x14ac:dyDescent="0.2">
      <c r="A15" s="3"/>
      <c r="B15" s="3"/>
      <c r="C15" s="3"/>
      <c r="D15" s="3"/>
      <c r="E15" s="3"/>
      <c r="F15" s="3"/>
      <c r="G15" s="3"/>
      <c r="H15" s="3"/>
    </row>
    <row r="16" spans="1:8" x14ac:dyDescent="0.2">
      <c r="A16" s="3"/>
      <c r="B16" s="3"/>
      <c r="C16" s="3"/>
      <c r="D16" s="3"/>
      <c r="E16" s="3"/>
      <c r="F16" s="3"/>
      <c r="G16" s="3"/>
      <c r="H16" s="3"/>
    </row>
    <row r="17" spans="1:8" x14ac:dyDescent="0.2">
      <c r="A17" s="3"/>
      <c r="B17" s="3"/>
      <c r="C17" s="3"/>
      <c r="D17" s="3"/>
      <c r="E17" s="3"/>
      <c r="F17" s="3"/>
      <c r="G17" s="3"/>
      <c r="H17" s="3"/>
    </row>
    <row r="18" spans="1:8" x14ac:dyDescent="0.2">
      <c r="A18" s="3"/>
      <c r="B18" s="3"/>
      <c r="C18" s="3"/>
      <c r="D18" s="3"/>
      <c r="E18" s="3"/>
      <c r="F18" s="3"/>
      <c r="G18" s="3"/>
      <c r="H18" s="3"/>
    </row>
    <row r="19" spans="1:8" x14ac:dyDescent="0.2">
      <c r="A19" s="3"/>
      <c r="B19" s="3"/>
      <c r="C19" s="3"/>
      <c r="D19" s="3"/>
      <c r="E19" s="3"/>
      <c r="F19" s="3"/>
      <c r="G19" s="3"/>
      <c r="H19" s="3"/>
    </row>
    <row r="20" spans="1:8" x14ac:dyDescent="0.2">
      <c r="A20" s="3"/>
      <c r="B20" s="3"/>
      <c r="C20" s="3"/>
      <c r="D20" s="3"/>
      <c r="E20" s="3"/>
      <c r="F20" s="3"/>
      <c r="G20" s="3"/>
      <c r="H20" s="3"/>
    </row>
    <row r="21" spans="1:8" x14ac:dyDescent="0.2">
      <c r="A21" s="3"/>
      <c r="B21" s="3"/>
      <c r="C21" s="3"/>
      <c r="D21" s="3"/>
      <c r="E21" s="3"/>
      <c r="F21" s="3"/>
      <c r="G21" s="3"/>
      <c r="H21" s="3"/>
    </row>
    <row r="22" spans="1:8" x14ac:dyDescent="0.2">
      <c r="A22" s="3"/>
      <c r="B22" s="3"/>
      <c r="C22" s="3"/>
      <c r="D22" s="3"/>
      <c r="E22" s="3"/>
      <c r="F22" s="3"/>
      <c r="G22" s="3"/>
      <c r="H22" s="3"/>
    </row>
    <row r="23" spans="1:8" x14ac:dyDescent="0.2">
      <c r="A23" s="3"/>
      <c r="B23" s="3"/>
      <c r="C23" s="3"/>
      <c r="D23" s="3"/>
      <c r="E23" s="3"/>
      <c r="F23" s="3"/>
      <c r="G23" s="3"/>
      <c r="H23" s="3"/>
    </row>
    <row r="24" spans="1:8" x14ac:dyDescent="0.2">
      <c r="A24" s="3"/>
      <c r="B24" s="3"/>
      <c r="C24" s="3"/>
      <c r="D24" s="3"/>
      <c r="E24" s="3"/>
      <c r="F24" s="3"/>
      <c r="G24" s="3"/>
      <c r="H24" s="3"/>
    </row>
    <row r="25" spans="1:8" x14ac:dyDescent="0.2">
      <c r="A25" s="3"/>
      <c r="B25" s="3"/>
      <c r="C25" s="3"/>
      <c r="D25" s="3"/>
      <c r="E25" s="3"/>
      <c r="F25" s="3"/>
      <c r="G25" s="3"/>
      <c r="H25" s="3"/>
    </row>
    <row r="26" spans="1:8" x14ac:dyDescent="0.2">
      <c r="A26" s="3"/>
      <c r="B26" s="3"/>
      <c r="C26" s="3"/>
      <c r="D26" s="3"/>
      <c r="E26" s="3"/>
      <c r="F26" s="3"/>
      <c r="G26" s="3"/>
      <c r="H26" s="3"/>
    </row>
    <row r="27" spans="1:8" x14ac:dyDescent="0.2">
      <c r="A27" s="3"/>
      <c r="B27" s="3"/>
      <c r="C27" s="3"/>
      <c r="D27" s="3"/>
      <c r="E27" s="3"/>
      <c r="F27" s="3"/>
      <c r="G27" s="3"/>
      <c r="H27" s="3"/>
    </row>
    <row r="28" spans="1:8" x14ac:dyDescent="0.2">
      <c r="A28" s="3"/>
      <c r="B28" s="3"/>
      <c r="C28" s="3"/>
      <c r="D28" s="3"/>
      <c r="E28" s="3"/>
      <c r="F28" s="3"/>
      <c r="G28" s="3"/>
      <c r="H28" s="3"/>
    </row>
    <row r="29" spans="1:8" x14ac:dyDescent="0.2">
      <c r="A29" s="3"/>
      <c r="B29" s="3"/>
      <c r="C29" s="3"/>
      <c r="D29" s="3"/>
      <c r="E29" s="3"/>
      <c r="F29" s="3"/>
      <c r="G29" s="3"/>
      <c r="H29" s="3"/>
    </row>
    <row r="30" spans="1:8" x14ac:dyDescent="0.2">
      <c r="A30" s="3"/>
      <c r="B30" s="3"/>
      <c r="C30" s="3"/>
      <c r="D30" s="3"/>
      <c r="E30" s="3"/>
      <c r="F30" s="3"/>
      <c r="G30" s="3"/>
      <c r="H30" s="3"/>
    </row>
    <row r="31" spans="1:8" x14ac:dyDescent="0.2">
      <c r="A31" s="3"/>
      <c r="B31" s="3"/>
      <c r="C31" s="3"/>
      <c r="D31" s="3"/>
      <c r="E31" s="3"/>
      <c r="F31" s="3"/>
      <c r="G31" s="3"/>
      <c r="H31" s="3"/>
    </row>
    <row r="32" spans="1:8" x14ac:dyDescent="0.2">
      <c r="A32" s="3"/>
      <c r="B32" s="3"/>
      <c r="C32" s="3"/>
      <c r="D32" s="3"/>
      <c r="E32" s="3"/>
      <c r="F32" s="3"/>
      <c r="G32" s="3"/>
      <c r="H32" s="3"/>
    </row>
    <row r="33" spans="1:8" x14ac:dyDescent="0.2">
      <c r="A33" s="3"/>
      <c r="B33" s="3"/>
      <c r="C33" s="3"/>
      <c r="D33" s="3"/>
      <c r="E33" s="3"/>
      <c r="F33" s="3"/>
      <c r="G33" s="3"/>
      <c r="H33" s="3"/>
    </row>
    <row r="34" spans="1:8" x14ac:dyDescent="0.2">
      <c r="A34" s="3"/>
      <c r="B34" s="3"/>
      <c r="C34" s="3"/>
      <c r="D34" s="3"/>
      <c r="E34" s="3"/>
      <c r="F34" s="3"/>
      <c r="G34" s="3"/>
      <c r="H34" s="3"/>
    </row>
    <row r="35" spans="1:8" x14ac:dyDescent="0.2">
      <c r="A35" s="3"/>
      <c r="B35" s="3"/>
      <c r="C35" s="3"/>
      <c r="D35" s="3"/>
      <c r="E35" s="3"/>
      <c r="F35" s="3"/>
      <c r="G35" s="3"/>
      <c r="H35" s="3"/>
    </row>
    <row r="36" spans="1:8" x14ac:dyDescent="0.2">
      <c r="A36" s="3"/>
      <c r="B36" s="3"/>
      <c r="C36" s="3"/>
      <c r="D36" s="3"/>
      <c r="E36" s="3"/>
      <c r="F36" s="3"/>
      <c r="G36" s="3"/>
      <c r="H36" s="3"/>
    </row>
    <row r="37" spans="1:8" x14ac:dyDescent="0.2">
      <c r="A37" s="3"/>
      <c r="B37" s="3"/>
      <c r="C37" s="3"/>
      <c r="D37" s="3"/>
      <c r="E37" s="3"/>
      <c r="F37" s="3"/>
      <c r="G37" s="3"/>
      <c r="H37" s="3"/>
    </row>
    <row r="38" spans="1:8" x14ac:dyDescent="0.2">
      <c r="A38" s="3"/>
      <c r="B38" s="3"/>
      <c r="C38" s="3"/>
      <c r="D38" s="3"/>
      <c r="E38" s="3"/>
      <c r="F38" s="3"/>
      <c r="G38" s="3"/>
      <c r="H38" s="3"/>
    </row>
    <row r="39" spans="1:8" x14ac:dyDescent="0.2">
      <c r="A39" s="3"/>
      <c r="B39" s="3"/>
      <c r="C39" s="3"/>
      <c r="D39" s="3"/>
      <c r="E39" s="3"/>
      <c r="F39" s="3"/>
      <c r="G39" s="3"/>
      <c r="H39" s="3"/>
    </row>
    <row r="40" spans="1:8" x14ac:dyDescent="0.2">
      <c r="A40" s="3"/>
      <c r="B40" s="3"/>
      <c r="C40" s="3"/>
      <c r="D40" s="3"/>
      <c r="E40" s="3"/>
      <c r="F40" s="3"/>
      <c r="G40" s="3"/>
      <c r="H40" s="3"/>
    </row>
    <row r="41" spans="1:8" x14ac:dyDescent="0.2">
      <c r="A41" s="3"/>
      <c r="B41" s="3"/>
      <c r="C41" s="3"/>
      <c r="D41" s="3"/>
      <c r="E41" s="3"/>
      <c r="F41" s="3"/>
      <c r="G41" s="3"/>
      <c r="H41" s="3"/>
    </row>
    <row r="42" spans="1:8" x14ac:dyDescent="0.2">
      <c r="A42" s="3"/>
      <c r="B42" s="3"/>
      <c r="C42" s="3"/>
      <c r="D42" s="3"/>
      <c r="E42" s="3"/>
      <c r="F42" s="3"/>
      <c r="G42" s="3"/>
      <c r="H42" s="3"/>
    </row>
    <row r="43" spans="1:8" x14ac:dyDescent="0.2">
      <c r="A43" s="3"/>
      <c r="B43" s="3"/>
      <c r="C43" s="3"/>
      <c r="D43" s="3"/>
      <c r="E43" s="3"/>
      <c r="F43" s="3"/>
      <c r="G43" s="3"/>
      <c r="H43" s="3"/>
    </row>
    <row r="44" spans="1:8" x14ac:dyDescent="0.2">
      <c r="A44" s="3"/>
      <c r="B44" s="3"/>
      <c r="C44" s="3"/>
      <c r="D44" s="3"/>
      <c r="E44" s="3"/>
      <c r="F44" s="3"/>
      <c r="G44" s="3"/>
      <c r="H44" s="3"/>
    </row>
    <row r="45" spans="1:8" x14ac:dyDescent="0.2">
      <c r="A45" s="3"/>
      <c r="B45" s="3"/>
      <c r="C45" s="3"/>
      <c r="D45" s="3"/>
      <c r="E45" s="3"/>
      <c r="F45" s="3"/>
      <c r="G45" s="3"/>
      <c r="H45" s="3"/>
    </row>
    <row r="46" spans="1:8" x14ac:dyDescent="0.2">
      <c r="A46" s="3"/>
      <c r="B46" s="3"/>
      <c r="C46" s="3"/>
      <c r="D46" s="3"/>
      <c r="E46" s="3"/>
      <c r="F46" s="3"/>
      <c r="G46" s="3"/>
      <c r="H46" s="3"/>
    </row>
    <row r="47" spans="1:8" x14ac:dyDescent="0.2">
      <c r="A47" s="3"/>
      <c r="B47" s="3"/>
      <c r="C47" s="3"/>
      <c r="D47" s="3"/>
      <c r="E47" s="3"/>
      <c r="F47" s="3"/>
      <c r="G47" s="3"/>
      <c r="H47" s="3"/>
    </row>
    <row r="48" spans="1:8" x14ac:dyDescent="0.2">
      <c r="A48" s="3"/>
      <c r="B48" s="3"/>
      <c r="C48" s="3"/>
      <c r="D48" s="3"/>
      <c r="E48" s="3"/>
      <c r="F48" s="3"/>
      <c r="G48" s="3"/>
      <c r="H48" s="3"/>
    </row>
    <row r="49" spans="1:8" x14ac:dyDescent="0.2">
      <c r="A49" s="3"/>
      <c r="B49" s="3"/>
      <c r="C49" s="3"/>
      <c r="D49" s="3"/>
      <c r="E49" s="3"/>
      <c r="F49" s="3"/>
      <c r="G49" s="3"/>
      <c r="H49" s="3"/>
    </row>
    <row r="50" spans="1:8" x14ac:dyDescent="0.2">
      <c r="A50" s="3"/>
      <c r="B50" s="3"/>
      <c r="C50" s="3"/>
      <c r="D50" s="3"/>
      <c r="E50" s="3"/>
      <c r="F50" s="3"/>
      <c r="G50" s="3"/>
      <c r="H50" s="3"/>
    </row>
    <row r="51" spans="1:8" x14ac:dyDescent="0.2">
      <c r="A51" s="3"/>
      <c r="B51" s="3"/>
      <c r="C51" s="3"/>
      <c r="D51" s="3"/>
      <c r="E51" s="3"/>
      <c r="F51" s="3"/>
      <c r="G51" s="3"/>
      <c r="H51" s="3"/>
    </row>
    <row r="52" spans="1:8" x14ac:dyDescent="0.2">
      <c r="A52" s="3"/>
      <c r="B52" s="3"/>
      <c r="C52" s="3"/>
      <c r="D52" s="3"/>
      <c r="E52" s="3"/>
      <c r="F52" s="3"/>
      <c r="G52" s="3"/>
      <c r="H52" s="3"/>
    </row>
    <row r="53" spans="1:8" x14ac:dyDescent="0.2">
      <c r="A53" s="3"/>
      <c r="B53" s="3"/>
      <c r="C53" s="3"/>
      <c r="D53" s="3"/>
      <c r="E53" s="3"/>
      <c r="F53" s="3"/>
      <c r="G53" s="3"/>
      <c r="H53" s="3"/>
    </row>
    <row r="54" spans="1:8" x14ac:dyDescent="0.2">
      <c r="A54" s="3"/>
      <c r="B54" s="3"/>
      <c r="C54" s="3"/>
      <c r="D54" s="3"/>
      <c r="E54" s="3"/>
      <c r="F54" s="3"/>
      <c r="G54" s="3"/>
      <c r="H54" s="3"/>
    </row>
    <row r="55" spans="1:8" x14ac:dyDescent="0.2">
      <c r="A55" s="3"/>
      <c r="B55" s="3"/>
      <c r="C55" s="3"/>
      <c r="D55" s="3"/>
      <c r="E55" s="3"/>
      <c r="F55" s="3"/>
      <c r="G55" s="3"/>
      <c r="H55" s="3"/>
    </row>
    <row r="56" spans="1:8" x14ac:dyDescent="0.2">
      <c r="A56" s="3"/>
      <c r="B56" s="3"/>
      <c r="C56" s="3"/>
      <c r="D56" s="3"/>
      <c r="E56" s="3"/>
      <c r="F56" s="3"/>
      <c r="G56" s="3"/>
      <c r="H56" s="3"/>
    </row>
    <row r="57" spans="1:8" x14ac:dyDescent="0.2">
      <c r="A57" s="3"/>
      <c r="B57" s="3"/>
      <c r="C57" s="3"/>
      <c r="D57" s="3"/>
      <c r="E57" s="3"/>
      <c r="F57" s="3"/>
      <c r="G57" s="3"/>
      <c r="H57" s="3"/>
    </row>
    <row r="58" spans="1:8" x14ac:dyDescent="0.2">
      <c r="A58" s="3"/>
      <c r="B58" s="3"/>
      <c r="C58" s="3"/>
      <c r="D58" s="3"/>
      <c r="E58" s="3"/>
      <c r="F58" s="3"/>
      <c r="G58" s="3"/>
      <c r="H58" s="3"/>
    </row>
    <row r="59" spans="1:8" x14ac:dyDescent="0.2">
      <c r="A59" s="3"/>
      <c r="B59" s="3"/>
      <c r="C59" s="3"/>
      <c r="D59" s="3"/>
      <c r="E59" s="3"/>
      <c r="F59" s="3"/>
      <c r="G59" s="3"/>
      <c r="H59" s="3"/>
    </row>
    <row r="60" spans="1:8" x14ac:dyDescent="0.2">
      <c r="A60" s="3"/>
      <c r="B60" s="3"/>
      <c r="C60" s="3"/>
      <c r="D60" s="3"/>
      <c r="E60" s="3"/>
      <c r="F60" s="3"/>
      <c r="G60" s="3"/>
      <c r="H60" s="3"/>
    </row>
    <row r="61" spans="1:8" x14ac:dyDescent="0.2">
      <c r="A61" s="3"/>
      <c r="B61" s="3"/>
      <c r="C61" s="3"/>
      <c r="D61" s="3"/>
      <c r="E61" s="3"/>
      <c r="F61" s="3"/>
      <c r="G61" s="3"/>
      <c r="H61" s="3"/>
    </row>
    <row r="62" spans="1:8" x14ac:dyDescent="0.2">
      <c r="A62" s="3"/>
      <c r="B62" s="3"/>
      <c r="C62" s="3"/>
      <c r="D62" s="3"/>
      <c r="E62" s="3"/>
      <c r="F62" s="3"/>
      <c r="G62" s="3"/>
      <c r="H62" s="3"/>
    </row>
  </sheetData>
  <mergeCells count="1">
    <mergeCell ref="A1:H1"/>
  </mergeCells>
  <dataValidations count="3">
    <dataValidation type="whole" operator="greaterThan" allowBlank="1" error="Step must be a positive integer" sqref="A3:A62" xr:uid="{00000000-0002-0000-0500-000000000000}">
      <formula1>0</formula1>
    </dataValidation>
    <dataValidation type="decimal" operator="greaterThanOrEqual" allowBlank="1" error="Hold time must be &gt;= 0" sqref="D3:E62 G3:G62" xr:uid="{00000000-0002-0000-0500-000001000000}">
      <formula1>0</formula1>
    </dataValidation>
    <dataValidation type="list" allowBlank="1" showInputMessage="1" showErrorMessage="1" sqref="F3:F100" xr:uid="{C5AAEC45-B600-B24C-9F4E-BCB7EED42701}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04040"/>
  </sheetPr>
  <dimension ref="A1:C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3" width="60" customWidth="1"/>
  </cols>
  <sheetData>
    <row r="1" spans="1:3" x14ac:dyDescent="0.2">
      <c r="A1" s="1" t="s">
        <v>120</v>
      </c>
      <c r="B1" s="1" t="s">
        <v>121</v>
      </c>
      <c r="C1" s="1" t="s">
        <v>122</v>
      </c>
    </row>
    <row r="2" spans="1:3" x14ac:dyDescent="0.2">
      <c r="A2" s="15" t="s">
        <v>157</v>
      </c>
      <c r="B2" s="13"/>
      <c r="C2" s="13"/>
    </row>
    <row r="3" spans="1:3" x14ac:dyDescent="0.2">
      <c r="A3" s="16" t="s">
        <v>123</v>
      </c>
      <c r="B3" s="14" t="s">
        <v>124</v>
      </c>
      <c r="C3" s="14" t="s">
        <v>125</v>
      </c>
    </row>
    <row r="4" spans="1:3" x14ac:dyDescent="0.2">
      <c r="A4" s="16" t="s">
        <v>126</v>
      </c>
      <c r="B4" s="14">
        <v>1</v>
      </c>
      <c r="C4" s="14" t="s">
        <v>127</v>
      </c>
    </row>
    <row r="5" spans="1:3" x14ac:dyDescent="0.2">
      <c r="A5" s="16" t="s">
        <v>134</v>
      </c>
      <c r="B5" s="14" t="s">
        <v>135</v>
      </c>
      <c r="C5" s="14" t="s">
        <v>136</v>
      </c>
    </row>
    <row r="6" spans="1:3" x14ac:dyDescent="0.2">
      <c r="A6" s="17" t="s">
        <v>137</v>
      </c>
      <c r="B6" s="14">
        <v>100</v>
      </c>
      <c r="C6" s="18" t="s">
        <v>138</v>
      </c>
    </row>
    <row r="7" spans="1:3" x14ac:dyDescent="0.2">
      <c r="A7" s="15" t="s">
        <v>158</v>
      </c>
      <c r="B7" s="13"/>
      <c r="C7" s="13"/>
    </row>
    <row r="8" spans="1:3" x14ac:dyDescent="0.2">
      <c r="A8" s="17" t="s">
        <v>128</v>
      </c>
      <c r="B8" s="14">
        <v>8080</v>
      </c>
      <c r="C8" s="18" t="s">
        <v>129</v>
      </c>
    </row>
    <row r="9" spans="1:3" x14ac:dyDescent="0.2">
      <c r="A9" s="17" t="s">
        <v>130</v>
      </c>
      <c r="B9" s="14">
        <v>500</v>
      </c>
      <c r="C9" s="18" t="s">
        <v>131</v>
      </c>
    </row>
    <row r="10" spans="1:3" x14ac:dyDescent="0.2">
      <c r="A10" s="15" t="s">
        <v>159</v>
      </c>
      <c r="B10" s="13"/>
      <c r="C10" s="13"/>
    </row>
    <row r="11" spans="1:3" x14ac:dyDescent="0.2">
      <c r="A11" s="17" t="s">
        <v>132</v>
      </c>
      <c r="B11" s="14" t="s">
        <v>12</v>
      </c>
      <c r="C11" s="18" t="s">
        <v>133</v>
      </c>
    </row>
    <row r="12" spans="1:3" x14ac:dyDescent="0.2">
      <c r="A12" s="17" t="s">
        <v>148</v>
      </c>
      <c r="B12" s="14">
        <v>0.1</v>
      </c>
      <c r="C12" s="18" t="s">
        <v>149</v>
      </c>
    </row>
    <row r="13" spans="1:3" x14ac:dyDescent="0.2">
      <c r="A13" s="15" t="s">
        <v>160</v>
      </c>
      <c r="B13" s="13"/>
      <c r="C13" s="13"/>
    </row>
    <row r="14" spans="1:3" x14ac:dyDescent="0.2">
      <c r="A14" s="17" t="s">
        <v>139</v>
      </c>
      <c r="B14" s="14">
        <v>1000</v>
      </c>
      <c r="C14" s="18" t="s">
        <v>140</v>
      </c>
    </row>
    <row r="15" spans="1:3" x14ac:dyDescent="0.2">
      <c r="A15" s="17" t="s">
        <v>141</v>
      </c>
      <c r="B15" s="14" t="s">
        <v>142</v>
      </c>
      <c r="C15" s="18" t="s">
        <v>143</v>
      </c>
    </row>
    <row r="16" spans="1:3" x14ac:dyDescent="0.2">
      <c r="A16" s="17" t="s">
        <v>144</v>
      </c>
      <c r="B16" s="14">
        <v>30</v>
      </c>
      <c r="C16" s="18" t="s">
        <v>145</v>
      </c>
    </row>
    <row r="17" spans="1:3" x14ac:dyDescent="0.2">
      <c r="A17" s="17" t="s">
        <v>146</v>
      </c>
      <c r="B17" s="14">
        <v>2</v>
      </c>
      <c r="C17" s="18" t="s">
        <v>147</v>
      </c>
    </row>
  </sheetData>
  <dataValidations count="2">
    <dataValidation type="list" allowBlank="1" showInputMessage="1" showErrorMessage="1" sqref="B15" xr:uid="{058F8585-D9EC-784F-BEE1-5B3FAE5B6756}">
      <formula1>"high,normal,low"</formula1>
    </dataValidation>
    <dataValidation type="list" allowBlank="1" showInputMessage="1" showErrorMessage="1" sqref="B11 B5" xr:uid="{264E4972-6312-B14D-AA62-4FE3F02B1B3E}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653F-0A89-884D-BFB3-4743E2108680}">
  <sheetPr>
    <tabColor rgb="FFFF6600"/>
  </sheetPr>
  <dimension ref="A1:D18"/>
  <sheetViews>
    <sheetView workbookViewId="0"/>
  </sheetViews>
  <sheetFormatPr baseColWidth="10" defaultRowHeight="15" x14ac:dyDescent="0.2"/>
  <cols>
    <col min="1" max="1" width="46.6640625" customWidth="1"/>
    <col min="2" max="2" width="16.6640625" customWidth="1"/>
    <col min="3" max="3" width="9.1640625" customWidth="1"/>
    <col min="4" max="4" width="58.33203125" customWidth="1"/>
  </cols>
  <sheetData>
    <row r="1" spans="1:4" ht="18" x14ac:dyDescent="0.2">
      <c r="A1" s="19" t="s">
        <v>161</v>
      </c>
    </row>
    <row r="2" spans="1:4" x14ac:dyDescent="0.2">
      <c r="A2" s="20" t="s">
        <v>162</v>
      </c>
    </row>
    <row r="4" spans="1:4" x14ac:dyDescent="0.2">
      <c r="A4" s="23" t="s">
        <v>163</v>
      </c>
      <c r="B4" s="23" t="s">
        <v>164</v>
      </c>
      <c r="C4" s="23" t="s">
        <v>165</v>
      </c>
      <c r="D4" s="23" t="s">
        <v>166</v>
      </c>
    </row>
    <row r="5" spans="1:4" x14ac:dyDescent="0.2">
      <c r="A5" s="24" t="s">
        <v>167</v>
      </c>
      <c r="B5" s="26" t="str">
        <f>IF(C5=0,"✅ Pass","❌ FAIL")</f>
        <v>✅ Pass</v>
      </c>
      <c r="C5" s="26" cm="1">
        <f t="array" ref="C5">SUMPRODUCT((COUNTIF(Instruments!A3:A100,Instruments!A3:A100)&gt;1)*(Instruments!A3:A100&lt;&gt;""))/MAX(1,SUMPRODUCT((COUNTIF(Instruments!A3:A100,Instruments!A3:A100)&gt;1)*(Instruments!A3:A100&lt;&gt;"")))*(SUMPRODUCT((COUNTIF(Instruments!A3:A100,Instruments!A3:A100)&gt;1)*(Instruments!A3:A100&lt;&gt;"")))</f>
        <v>0</v>
      </c>
      <c r="D5" s="25" t="s">
        <v>179</v>
      </c>
    </row>
    <row r="6" spans="1:4" x14ac:dyDescent="0.2">
      <c r="A6" s="24" t="s">
        <v>168</v>
      </c>
      <c r="B6" s="26" t="str">
        <f>IF(C6=0,"✅ Pass","❌ FAIL")</f>
        <v>✅ Pass</v>
      </c>
      <c r="C6" s="26" cm="1">
        <f t="array" ref="C6">SUMPRODUCT((COUNTIF(Channels!C3:C100,Channels!C3:C100)&gt;1)*(Channels!C3:C100&lt;&gt;""))/MAX(1,SUMPRODUCT((COUNTIF(Channels!C3:C100,Channels!C3:C100)&gt;1)*(Channels!C3:C100&lt;&gt;"")))*(SUMPRODUCT((COUNTIF(Channels!C3:C100,Channels!C3:C100)&gt;1)*(Channels!C3:C100&lt;&gt;"")))</f>
        <v>0</v>
      </c>
      <c r="D6" s="25" t="s">
        <v>180</v>
      </c>
    </row>
    <row r="7" spans="1:4" x14ac:dyDescent="0.2">
      <c r="A7" s="24" t="s">
        <v>169</v>
      </c>
      <c r="B7" s="26" t="str">
        <f>IF(C7=0,"✅ Pass","❌ FAIL")</f>
        <v>✅ Pass</v>
      </c>
      <c r="C7" s="26" cm="1">
        <f t="array" ref="C7">SUMPRODUCT((COUNTIF('Control Loops'!A3:A100,'Control Loops'!A3:A100)&gt;1)*('Control Loops'!A3:A100&lt;&gt;""))/MAX(1,SUMPRODUCT((COUNTIF('Control Loops'!A3:A100,'Control Loops'!A3:A100)&gt;1)*('Control Loops'!A3:A100&lt;&gt;"")))*(SUMPRODUCT((COUNTIF('Control Loops'!A3:A100,'Control Loops'!A3:A100)&gt;1)*('Control Loops'!A3:A100&lt;&gt;"")))</f>
        <v>0</v>
      </c>
      <c r="D7" s="25" t="s">
        <v>181</v>
      </c>
    </row>
    <row r="8" spans="1:4" x14ac:dyDescent="0.2">
      <c r="A8" s="24" t="s">
        <v>170</v>
      </c>
      <c r="B8" s="26" t="str">
        <f>IF(C8=0,"✅ Pass","❌ FAIL")</f>
        <v>✅ Pass</v>
      </c>
      <c r="C8" s="26" cm="1">
        <f t="array" ref="C8">SUMPRODUCT((COUNTIF(Interlocks!A3:A100,Interlocks!A3:A100)&gt;1)*(Interlocks!A3:A100&lt;&gt;""))/MAX(1,SUMPRODUCT((COUNTIF(Interlocks!A3:A100,Interlocks!A3:A100)&gt;1)*(Interlocks!A3:A100&lt;&gt;"")))*(SUMPRODUCT((COUNTIF(Interlocks!A3:A100,Interlocks!A3:A100)&gt;1)*(Interlocks!A3:A100&lt;&gt;"")))</f>
        <v>0</v>
      </c>
      <c r="D8" s="25" t="s">
        <v>182</v>
      </c>
    </row>
    <row r="9" spans="1:4" x14ac:dyDescent="0.2">
      <c r="A9" s="24" t="s">
        <v>171</v>
      </c>
      <c r="B9" s="26" t="str">
        <f>IF(C9=0,"✅ Pass","❌ FAIL")</f>
        <v>✅ Pass</v>
      </c>
      <c r="C9" s="26" cm="1">
        <f t="array" ref="C9">SUMPRODUCT((Channels!A3:A100&lt;&gt;"")*(COUNTIF(Instruments!A3:A100,Channels!A3:A100)=0))</f>
        <v>0</v>
      </c>
      <c r="D9" s="25" t="s">
        <v>183</v>
      </c>
    </row>
    <row r="10" spans="1:4" x14ac:dyDescent="0.2">
      <c r="A10" s="24" t="s">
        <v>172</v>
      </c>
      <c r="B10" s="26" t="str">
        <f>IF(C10=0,"✅ Pass","❌ FAIL")</f>
        <v>✅ Pass</v>
      </c>
      <c r="C10" s="26" cm="1">
        <f t="array" ref="C10">SUMPRODUCT(('Control Loops'!B3:B100&lt;&gt;"")*(COUNTIF(Channels!C3:C100,'Control Loops'!B3:B100)=0))</f>
        <v>0</v>
      </c>
      <c r="D10" s="25" t="s">
        <v>184</v>
      </c>
    </row>
    <row r="11" spans="1:4" x14ac:dyDescent="0.2">
      <c r="A11" s="24" t="s">
        <v>173</v>
      </c>
      <c r="B11" s="26" t="str">
        <f>IF(C11=0,"✅ Pass","❌ FAIL")</f>
        <v>✅ Pass</v>
      </c>
      <c r="C11" s="26" cm="1">
        <f t="array" ref="C11">SUMPRODUCT(('Control Loops'!E3:E100&lt;&gt;"")*(COUNTIF(Channels!C3:C100,'Control Loops'!E3:E100)=0))</f>
        <v>0</v>
      </c>
      <c r="D11" s="25" t="s">
        <v>185</v>
      </c>
    </row>
    <row r="12" spans="1:4" x14ac:dyDescent="0.2">
      <c r="A12" s="24" t="s">
        <v>174</v>
      </c>
      <c r="B12" s="26" t="str">
        <f>IF(C12=0,"✅ Pass","❌ FAIL")</f>
        <v>✅ Pass</v>
      </c>
      <c r="C12" s="26" cm="1">
        <f t="array" ref="C12">SUMPRODUCT((Interlocks!B3:B100&lt;&gt;"")*(COUNTIF(Channels!C3:C100,Interlocks!B3:B100)=0))</f>
        <v>0</v>
      </c>
      <c r="D12" s="25" t="s">
        <v>186</v>
      </c>
    </row>
    <row r="13" spans="1:4" x14ac:dyDescent="0.2">
      <c r="A13" s="24" t="s">
        <v>175</v>
      </c>
      <c r="B13" s="26" t="str">
        <f>IF(C13=0,"✅ Pass","❌ FAIL")</f>
        <v>✅ Pass</v>
      </c>
      <c r="C13" s="26" cm="1">
        <f t="array" ref="C13">SUMPRODUCT((Logging!A3:A100&lt;&gt;"")*(COUNTIF(Channels!C3:C100,Logging!A3:A100)=0))</f>
        <v>0</v>
      </c>
      <c r="D13" s="25" t="s">
        <v>187</v>
      </c>
    </row>
    <row r="14" spans="1:4" x14ac:dyDescent="0.2">
      <c r="A14" s="24" t="s">
        <v>176</v>
      </c>
      <c r="B14" s="26" t="str">
        <f>IF(C14=0,"✅ Pass","❌ FAIL")</f>
        <v>✅ Pass</v>
      </c>
      <c r="C14" s="26" cm="1">
        <f t="array" ref="C14">SUMPRODUCT((Logging!F3:F100&lt;&gt;"N/A")*(Logging!G3:G100&lt;&gt;"N/A")*(ISNUMBER(Logging!F3:F100))*(ISNUMBER(Logging!G3:G100))*(Logging!F3:F100&gt;Logging!G3:G100))</f>
        <v>0</v>
      </c>
      <c r="D14" s="25" t="s">
        <v>188</v>
      </c>
    </row>
    <row r="15" spans="1:4" x14ac:dyDescent="0.2">
      <c r="A15" s="24" t="s">
        <v>177</v>
      </c>
      <c r="B15" s="26" t="str">
        <f>IF(C15=0,"✅ Pass","⚠️ WARNING")</f>
        <v>✅ Pass</v>
      </c>
      <c r="C15" s="26" cm="1">
        <f t="array" ref="C15">SUMPRODUCT((Channels!C3:C100&lt;&gt;"")*(COUNTIF(Logging!A3:A100,Channels!C3:C100)+COUNTIF('Control Loops'!B3:B100,Channels!C3:C100)+COUNTIF('Control Loops'!E3:E100,Channels!C3:C100)+COUNTIF(Interlocks!B3:B100,Channels!C3:C100)=0))</f>
        <v>0</v>
      </c>
      <c r="D15" s="25" t="s">
        <v>189</v>
      </c>
    </row>
    <row r="16" spans="1:4" x14ac:dyDescent="0.2">
      <c r="A16" s="24" t="s">
        <v>178</v>
      </c>
      <c r="B16" s="26" t="str">
        <f>IF(C16=0,"✅ Pass","⚠️ WARNING")</f>
        <v>✅ Pass</v>
      </c>
      <c r="C16" s="26" cm="1">
        <f t="array" ref="C16">SUMPRODUCT((Instruments!A3:A100&lt;&gt;"")*(Instruments!G3:G100="No")*(COUNTIF(Channels!A3:A100,Instruments!A3:A100)&gt;0))</f>
        <v>0</v>
      </c>
      <c r="D16" s="25" t="s">
        <v>190</v>
      </c>
    </row>
    <row r="18" spans="1:2" ht="16" x14ac:dyDescent="0.2">
      <c r="A18" s="21" t="s">
        <v>191</v>
      </c>
      <c r="B18" s="22" t="str">
        <f>IF(COUNTIF(B5:B16,"*FAIL*")&gt;0,"❌ "&amp;COUNTIF(B5:B16,"*FAIL*")&amp;" issue(s) found",IF(COUNTIF(B5:B16,"*WARNING*")&gt;0,"⚠️ "&amp;COUNTIF(B5:B16,"*WARNING*")&amp;" warning(s)","✅ All checks passed"))</f>
        <v>✅ All checks passed</v>
      </c>
    </row>
  </sheetData>
  <conditionalFormatting sqref="B5:B16">
    <cfRule type="expression" dxfId="3" priority="1">
      <formula>ISNUMBER(SEARCH("FAIL",B5))</formula>
    </cfRule>
  </conditionalFormatting>
  <conditionalFormatting sqref="B5:B16">
    <cfRule type="expression" dxfId="2" priority="2">
      <formula>ISNUMBER(SEARCH("Pass",B5))</formula>
    </cfRule>
  </conditionalFormatting>
  <conditionalFormatting sqref="B5:B16">
    <cfRule type="expression" dxfId="1" priority="3">
      <formula>ISNUMBER(SEARCH("WARNING",B5))</formula>
    </cfRule>
  </conditionalFormatting>
  <conditionalFormatting sqref="C5:C16">
    <cfRule type="expression" dxfId="0" priority="4">
      <formula>C5&gt;0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Instruments</vt:lpstr>
      <vt:lpstr>Channels</vt:lpstr>
      <vt:lpstr>Control Loops</vt:lpstr>
      <vt:lpstr>Interlocks</vt:lpstr>
      <vt:lpstr>Logging</vt:lpstr>
      <vt:lpstr>Test Series</vt:lpstr>
      <vt:lpstr>Settings</vt:lpstr>
      <vt:lpstr>Validation</vt:lpstr>
      <vt:lpstr>ChannelNames</vt:lpstr>
      <vt:lpstr>InstrumentNames</vt:lpstr>
      <vt:lpstr>LoopNames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Venneri</cp:lastModifiedBy>
  <dcterms:created xsi:type="dcterms:W3CDTF">2026-02-07T01:39:36Z</dcterms:created>
  <dcterms:modified xsi:type="dcterms:W3CDTF">2026-02-08T00:46:45Z</dcterms:modified>
</cp:coreProperties>
</file>